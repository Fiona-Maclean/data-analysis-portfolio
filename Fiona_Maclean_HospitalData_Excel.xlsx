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f9\Desktop\"/>
    </mc:Choice>
  </mc:AlternateContent>
  <xr:revisionPtr revIDLastSave="0" documentId="8_{CBE28C63-7FD6-4344-820B-7F6F5092A367}" xr6:coauthVersionLast="47" xr6:coauthVersionMax="47" xr10:uidLastSave="{00000000-0000-0000-0000-000000000000}"/>
  <bookViews>
    <workbookView xWindow="-108" yWindow="-108" windowWidth="23256" windowHeight="13896" xr2:uid="{220DC90B-F7CC-450C-A554-022C9F2BB1A8}"/>
  </bookViews>
  <sheets>
    <sheet name="ReferralsByType" sheetId="5" r:id="rId1"/>
    <sheet name="ReferralsByMonthHospital" sheetId="9" r:id="rId2"/>
    <sheet name="ReferralsByHospitalType" sheetId="11" r:id="rId3"/>
    <sheet name="AvgPatientsPerVisit" sheetId="12" r:id="rId4"/>
    <sheet name="AvgReferralRate" sheetId="13" r:id="rId5"/>
    <sheet name="Notes" sheetId="4" r:id="rId6"/>
    <sheet name="Data" sheetId="1" r:id="rId7"/>
  </sheets>
  <calcPr calcId="191029"/>
  <pivotCaches>
    <pivotCache cacheId="1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1" i="1" l="1"/>
  <c r="H192" i="1"/>
  <c r="H193" i="1"/>
  <c r="H194" i="1"/>
  <c r="H195" i="1"/>
  <c r="H196" i="1"/>
  <c r="H197" i="1"/>
  <c r="H198" i="1"/>
  <c r="H199" i="1"/>
  <c r="H200" i="1"/>
  <c r="H201" i="1"/>
  <c r="H202" i="1"/>
  <c r="G202" i="1"/>
  <c r="E202" i="1"/>
  <c r="G201" i="1"/>
  <c r="E201" i="1"/>
  <c r="G200" i="1"/>
  <c r="E200" i="1"/>
  <c r="G199" i="1"/>
  <c r="E199" i="1"/>
  <c r="G198" i="1"/>
  <c r="E198" i="1"/>
  <c r="G197" i="1"/>
  <c r="E197" i="1"/>
  <c r="G196" i="1"/>
  <c r="E196" i="1"/>
  <c r="E195" i="1"/>
  <c r="G195" i="1"/>
  <c r="G194" i="1"/>
  <c r="E194" i="1"/>
  <c r="G193" i="1"/>
  <c r="E193" i="1"/>
  <c r="G192" i="1"/>
  <c r="E192" i="1"/>
  <c r="E191" i="1"/>
  <c r="G191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G190" i="1"/>
  <c r="E190" i="1"/>
  <c r="E189" i="1"/>
  <c r="G189" i="1"/>
  <c r="G188" i="1"/>
  <c r="E188" i="1"/>
  <c r="G187" i="1"/>
  <c r="E187" i="1"/>
  <c r="G186" i="1"/>
  <c r="E186" i="1"/>
  <c r="G185" i="1"/>
  <c r="E185" i="1"/>
  <c r="G184" i="1"/>
  <c r="E184" i="1"/>
  <c r="G183" i="1"/>
  <c r="E183" i="1"/>
  <c r="G182" i="1"/>
  <c r="E182" i="1"/>
  <c r="G181" i="1"/>
  <c r="E181" i="1"/>
  <c r="G180" i="1"/>
  <c r="E180" i="1"/>
  <c r="G179" i="1"/>
  <c r="E179" i="1"/>
  <c r="G178" i="1"/>
  <c r="E178" i="1"/>
  <c r="G177" i="1"/>
  <c r="E177" i="1"/>
  <c r="G176" i="1"/>
  <c r="E176" i="1"/>
  <c r="G175" i="1"/>
  <c r="E175" i="1"/>
  <c r="H172" i="1"/>
  <c r="H173" i="1"/>
  <c r="H174" i="1"/>
  <c r="E174" i="1"/>
  <c r="G174" i="1"/>
  <c r="G173" i="1"/>
  <c r="E173" i="1"/>
  <c r="E172" i="1"/>
  <c r="G172" i="1"/>
  <c r="G171" i="1"/>
  <c r="E171" i="1"/>
  <c r="G170" i="1"/>
  <c r="E170" i="1"/>
  <c r="G169" i="1"/>
  <c r="E169" i="1"/>
  <c r="G168" i="1"/>
  <c r="E168" i="1"/>
  <c r="G167" i="1"/>
  <c r="E167" i="1"/>
  <c r="E166" i="1"/>
  <c r="G166" i="1"/>
  <c r="H166" i="1" s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G165" i="1"/>
  <c r="E165" i="1"/>
  <c r="G164" i="1"/>
  <c r="E164" i="1"/>
  <c r="G163" i="1"/>
  <c r="E163" i="1"/>
  <c r="G162" i="1"/>
  <c r="E162" i="1"/>
  <c r="G161" i="1"/>
  <c r="E161" i="1"/>
  <c r="G160" i="1"/>
  <c r="E160" i="1"/>
  <c r="G159" i="1"/>
  <c r="E159" i="1"/>
  <c r="G158" i="1"/>
  <c r="E158" i="1"/>
  <c r="G157" i="1"/>
  <c r="E157" i="1"/>
  <c r="G156" i="1"/>
  <c r="E156" i="1"/>
  <c r="G155" i="1"/>
  <c r="E155" i="1"/>
  <c r="E154" i="1"/>
  <c r="G154" i="1"/>
  <c r="G153" i="1"/>
  <c r="E153" i="1"/>
  <c r="G152" i="1"/>
  <c r="E152" i="1"/>
  <c r="G151" i="1"/>
  <c r="E151" i="1"/>
  <c r="G150" i="1"/>
  <c r="E150" i="1"/>
  <c r="G149" i="1"/>
  <c r="E149" i="1"/>
  <c r="E148" i="1"/>
  <c r="G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E134" i="1"/>
  <c r="G134" i="1"/>
  <c r="H134" i="1" s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G133" i="1"/>
  <c r="E133" i="1"/>
  <c r="E132" i="1"/>
  <c r="G132" i="1"/>
  <c r="E131" i="1"/>
  <c r="G131" i="1"/>
  <c r="G130" i="1"/>
  <c r="E130" i="1"/>
  <c r="G129" i="1"/>
  <c r="E129" i="1"/>
  <c r="G128" i="1"/>
  <c r="E128" i="1"/>
  <c r="G127" i="1"/>
  <c r="E127" i="1"/>
  <c r="G126" i="1"/>
  <c r="E126" i="1"/>
  <c r="G125" i="1"/>
  <c r="E125" i="1"/>
  <c r="G124" i="1"/>
  <c r="E124" i="1"/>
  <c r="G123" i="1"/>
  <c r="E123" i="1"/>
  <c r="G122" i="1"/>
  <c r="E122" i="1"/>
  <c r="E121" i="1"/>
  <c r="G121" i="1"/>
  <c r="H119" i="1"/>
  <c r="H120" i="1"/>
  <c r="G120" i="1"/>
  <c r="E120" i="1"/>
  <c r="G119" i="1"/>
  <c r="E119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E118" i="1"/>
  <c r="G118" i="1"/>
  <c r="G117" i="1"/>
  <c r="E117" i="1"/>
  <c r="G116" i="1"/>
  <c r="E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E100" i="1"/>
  <c r="G100" i="1"/>
  <c r="G99" i="1"/>
  <c r="E99" i="1"/>
  <c r="G98" i="1"/>
  <c r="E98" i="1"/>
  <c r="E97" i="1"/>
  <c r="G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E88" i="1"/>
  <c r="G88" i="1"/>
  <c r="H80" i="1"/>
  <c r="H81" i="1"/>
  <c r="H82" i="1"/>
  <c r="H83" i="1"/>
  <c r="H84" i="1"/>
  <c r="H85" i="1"/>
  <c r="H86" i="1"/>
  <c r="H87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E79" i="1"/>
  <c r="G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E66" i="1"/>
  <c r="G66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G65" i="1"/>
  <c r="E65" i="1"/>
  <c r="G64" i="1"/>
  <c r="E64" i="1"/>
  <c r="G63" i="1"/>
  <c r="E63" i="1"/>
  <c r="G62" i="1"/>
  <c r="E62" i="1"/>
  <c r="E61" i="1"/>
  <c r="G61" i="1"/>
  <c r="G60" i="1"/>
  <c r="E60" i="1"/>
  <c r="G59" i="1"/>
  <c r="E59" i="1"/>
  <c r="G58" i="1"/>
  <c r="E58" i="1"/>
  <c r="G57" i="1"/>
  <c r="E57" i="1"/>
  <c r="G56" i="1"/>
  <c r="E56" i="1"/>
  <c r="G55" i="1"/>
  <c r="E55" i="1"/>
  <c r="E54" i="1"/>
  <c r="G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E44" i="1"/>
  <c r="G44" i="1"/>
  <c r="H36" i="1"/>
  <c r="H37" i="1"/>
  <c r="H38" i="1"/>
  <c r="H39" i="1"/>
  <c r="H40" i="1"/>
  <c r="H41" i="1"/>
  <c r="H42" i="1"/>
  <c r="H43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E36" i="1"/>
  <c r="G36" i="1"/>
  <c r="H33" i="1"/>
  <c r="H34" i="1"/>
  <c r="H35" i="1"/>
  <c r="G35" i="1"/>
  <c r="E35" i="1"/>
  <c r="G34" i="1"/>
  <c r="E34" i="1"/>
  <c r="E33" i="1"/>
  <c r="G33" i="1"/>
  <c r="H21" i="1"/>
  <c r="H22" i="1"/>
  <c r="H23" i="1"/>
  <c r="H24" i="1"/>
  <c r="H25" i="1"/>
  <c r="H26" i="1"/>
  <c r="H27" i="1"/>
  <c r="H28" i="1"/>
  <c r="H29" i="1"/>
  <c r="H30" i="1"/>
  <c r="H31" i="1"/>
  <c r="H32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E21" i="1"/>
  <c r="G21" i="1"/>
  <c r="G20" i="1"/>
  <c r="H20" i="1" s="1"/>
  <c r="E20" i="1"/>
  <c r="G19" i="1"/>
  <c r="H19" i="1" s="1"/>
  <c r="E19" i="1"/>
  <c r="G18" i="1"/>
  <c r="H18" i="1" s="1"/>
  <c r="E18" i="1"/>
  <c r="G17" i="1"/>
  <c r="H17" i="1" s="1"/>
  <c r="E17" i="1"/>
  <c r="G16" i="1"/>
  <c r="H16" i="1" s="1"/>
  <c r="E16" i="1"/>
  <c r="G15" i="1"/>
  <c r="H15" i="1" s="1"/>
  <c r="E15" i="1"/>
  <c r="H14" i="1"/>
  <c r="E14" i="1"/>
  <c r="G14" i="1"/>
  <c r="H3" i="1"/>
  <c r="H4" i="1"/>
  <c r="H5" i="1"/>
  <c r="H6" i="1"/>
  <c r="H7" i="1"/>
  <c r="H8" i="1"/>
  <c r="H9" i="1"/>
  <c r="H10" i="1"/>
  <c r="H11" i="1"/>
  <c r="H12" i="1"/>
  <c r="H13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G2" i="1"/>
  <c r="H2" i="1" s="1"/>
  <c r="E2" i="1"/>
  <c r="H171" i="1" l="1"/>
  <c r="H167" i="1"/>
  <c r="H169" i="1"/>
  <c r="H168" i="1"/>
  <c r="H170" i="1"/>
  <c r="H142" i="1"/>
  <c r="H140" i="1"/>
  <c r="H145" i="1"/>
  <c r="H143" i="1"/>
  <c r="H141" i="1"/>
  <c r="H144" i="1"/>
  <c r="H139" i="1"/>
  <c r="H138" i="1"/>
  <c r="H137" i="1"/>
  <c r="H136" i="1"/>
  <c r="H147" i="1"/>
  <c r="H135" i="1"/>
  <c r="H146" i="1"/>
</calcChain>
</file>

<file path=xl/sharedStrings.xml><?xml version="1.0" encoding="utf-8"?>
<sst xmlns="http://schemas.openxmlformats.org/spreadsheetml/2006/main" count="447" uniqueCount="32">
  <si>
    <t>Date</t>
  </si>
  <si>
    <t>Hospital</t>
  </si>
  <si>
    <t>PatientsEngaged</t>
  </si>
  <si>
    <t xml:space="preserve">Referrals </t>
  </si>
  <si>
    <t>ReferralRate</t>
  </si>
  <si>
    <t>ReferralType</t>
  </si>
  <si>
    <t>VisitID</t>
  </si>
  <si>
    <t>DeduplicatedPatientsEngaged</t>
  </si>
  <si>
    <t>Hospital 1</t>
  </si>
  <si>
    <t>Hospital 2</t>
  </si>
  <si>
    <t>Hospital 3</t>
  </si>
  <si>
    <t>Hospital 4</t>
  </si>
  <si>
    <t>Hospital 5</t>
  </si>
  <si>
    <t>Hospital 6</t>
  </si>
  <si>
    <t>Hospital 7</t>
  </si>
  <si>
    <t>Hospital 8</t>
  </si>
  <si>
    <t>Hospital 9</t>
  </si>
  <si>
    <t>Finance</t>
  </si>
  <si>
    <t>Emotional Support</t>
  </si>
  <si>
    <t>Housing</t>
  </si>
  <si>
    <t>Diet</t>
  </si>
  <si>
    <t>Holiday</t>
  </si>
  <si>
    <t>Treatment Options</t>
  </si>
  <si>
    <t>Transport</t>
  </si>
  <si>
    <t>Occupational Therapy</t>
  </si>
  <si>
    <t>Employment</t>
  </si>
  <si>
    <t>Making a Will</t>
  </si>
  <si>
    <t>Row Labels</t>
  </si>
  <si>
    <t>Grand Total</t>
  </si>
  <si>
    <t xml:space="preserve">Count of Referrals </t>
  </si>
  <si>
    <t>Average of PatientsEngaged</t>
  </si>
  <si>
    <t>Average of ReferralRate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</si>
</sst>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7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167" formatCode="0.0"/>
    </dxf>
    <dxf>
      <numFmt numFmtId="167" formatCode="0.0"/>
    </dxf>
    <dxf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[Fiona_Maclean_HospitalData_Excel.xlsx]ReferralsByType!ReferralsByType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Referrals</a:t>
            </a:r>
            <a:r>
              <a:rPr lang="en-US" b="1" baseline="0"/>
              <a:t> by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ReferralsByType!$B$3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ReferralsByType!$A$4:$A$14</c:f>
              <c:strCache>
                <c:ptCount val="10"/>
                <c:pt idx="0">
                  <c:v>Diet</c:v>
                </c:pt>
                <c:pt idx="1">
                  <c:v>Emotional Support</c:v>
                </c:pt>
                <c:pt idx="2">
                  <c:v>Employment</c:v>
                </c:pt>
                <c:pt idx="3">
                  <c:v>Finance</c:v>
                </c:pt>
                <c:pt idx="4">
                  <c:v>Holiday</c:v>
                </c:pt>
                <c:pt idx="5">
                  <c:v>Housing</c:v>
                </c:pt>
                <c:pt idx="6">
                  <c:v>Making a Will</c:v>
                </c:pt>
                <c:pt idx="7">
                  <c:v>Occupational Therapy</c:v>
                </c:pt>
                <c:pt idx="8">
                  <c:v>Transport</c:v>
                </c:pt>
                <c:pt idx="9">
                  <c:v>Treatment Options</c:v>
                </c:pt>
              </c:strCache>
            </c:strRef>
          </c:cat>
          <c:val>
            <c:numRef>
              <c:f>ReferralsByType!$B$4:$B$14</c:f>
              <c:numCache>
                <c:formatCode>General</c:formatCode>
                <c:ptCount val="10"/>
                <c:pt idx="0">
                  <c:v>12</c:v>
                </c:pt>
                <c:pt idx="1">
                  <c:v>78</c:v>
                </c:pt>
                <c:pt idx="2">
                  <c:v>3</c:v>
                </c:pt>
                <c:pt idx="3">
                  <c:v>54</c:v>
                </c:pt>
                <c:pt idx="4">
                  <c:v>15</c:v>
                </c:pt>
                <c:pt idx="5">
                  <c:v>8</c:v>
                </c:pt>
                <c:pt idx="6">
                  <c:v>2</c:v>
                </c:pt>
                <c:pt idx="7">
                  <c:v>5</c:v>
                </c:pt>
                <c:pt idx="8">
                  <c:v>7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2-4F44-AB55-2BDA7AF39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659936"/>
        <c:axId val="1040660416"/>
      </c:barChart>
      <c:catAx>
        <c:axId val="104065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64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60416"/>
        <c:crosses val="autoZero"/>
        <c:auto val="1"/>
        <c:lblAlgn val="ctr"/>
        <c:lblOffset val="100"/>
        <c:noMultiLvlLbl val="0"/>
      </c:catAx>
      <c:valAx>
        <c:axId val="104066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5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baseline="0"/>
              <a:t>Referrals by Month and Hospital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Hospital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12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8C3-4117-AF0C-3B77923BFEA3}"/>
            </c:ext>
          </c:extLst>
        </c:ser>
        <c:ser>
          <c:idx val="1"/>
          <c:order val="1"/>
          <c:tx>
            <c:v>Hospital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7</c:v>
              </c:pt>
              <c:pt idx="1">
                <c:v>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38C3-4117-AF0C-3B77923BFEA3}"/>
            </c:ext>
          </c:extLst>
        </c:ser>
        <c:ser>
          <c:idx val="2"/>
          <c:order val="2"/>
          <c:tx>
            <c:v>Hospital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12</c:v>
              </c:pt>
              <c:pt idx="1">
                <c:v>0</c:v>
              </c:pt>
              <c:pt idx="2">
                <c:v>9</c:v>
              </c:pt>
              <c:pt idx="3">
                <c:v>10</c:v>
              </c:pt>
              <c:pt idx="4">
                <c:v>0</c:v>
              </c:pt>
              <c:pt idx="5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2-38C3-4117-AF0C-3B77923BFEA3}"/>
            </c:ext>
          </c:extLst>
        </c:ser>
        <c:ser>
          <c:idx val="3"/>
          <c:order val="3"/>
          <c:tx>
            <c:v>Hospital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3-38C3-4117-AF0C-3B77923BFEA3}"/>
            </c:ext>
          </c:extLst>
        </c:ser>
        <c:ser>
          <c:idx val="4"/>
          <c:order val="4"/>
          <c:tx>
            <c:v>Hospital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13</c:v>
              </c:pt>
              <c:pt idx="2">
                <c:v>9</c:v>
              </c:pt>
              <c:pt idx="3">
                <c:v>0</c:v>
              </c:pt>
              <c:pt idx="4">
                <c:v>14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38C3-4117-AF0C-3B77923BFEA3}"/>
            </c:ext>
          </c:extLst>
        </c:ser>
        <c:ser>
          <c:idx val="5"/>
          <c:order val="5"/>
          <c:tx>
            <c:v>Hospital 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3</c:v>
              </c:pt>
              <c:pt idx="3">
                <c:v>0</c:v>
              </c:pt>
              <c:pt idx="4">
                <c:v>0</c:v>
              </c:pt>
              <c:pt idx="5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5-38C3-4117-AF0C-3B77923BFEA3}"/>
            </c:ext>
          </c:extLst>
        </c:ser>
        <c:ser>
          <c:idx val="6"/>
          <c:order val="6"/>
          <c:tx>
            <c:v>Hospital 7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18</c:v>
              </c:pt>
              <c:pt idx="4">
                <c:v>0</c:v>
              </c:pt>
              <c:pt idx="5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6-38C3-4117-AF0C-3B77923BFEA3}"/>
            </c:ext>
          </c:extLst>
        </c:ser>
        <c:ser>
          <c:idx val="7"/>
          <c:order val="7"/>
          <c:tx>
            <c:v>Hospital 8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2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7-38C3-4117-AF0C-3B77923BFEA3}"/>
            </c:ext>
          </c:extLst>
        </c:ser>
        <c:ser>
          <c:idx val="8"/>
          <c:order val="8"/>
          <c:tx>
            <c:v>Hospital 9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6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38C3-4117-AF0C-3B77923BF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7282144"/>
        <c:axId val="367271104"/>
      </c:barChart>
      <c:catAx>
        <c:axId val="3672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71104"/>
        <c:crosses val="autoZero"/>
        <c:auto val="1"/>
        <c:lblAlgn val="ctr"/>
        <c:lblOffset val="100"/>
        <c:noMultiLvlLbl val="0"/>
      </c:catAx>
      <c:valAx>
        <c:axId val="3672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8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Referrals by Hospital and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Diet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2</c:v>
              </c:pt>
              <c:pt idx="1">
                <c:v>0</c:v>
              </c:pt>
              <c:pt idx="2">
                <c:v>4</c:v>
              </c:pt>
              <c:pt idx="3">
                <c:v>2</c:v>
              </c:pt>
              <c:pt idx="4">
                <c:v>1</c:v>
              </c:pt>
              <c:pt idx="5">
                <c:v>0</c:v>
              </c:pt>
              <c:pt idx="6">
                <c:v>2</c:v>
              </c:pt>
              <c:pt idx="7">
                <c:v>0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E7C3-4643-9C9D-4B684334CE16}"/>
            </c:ext>
          </c:extLst>
        </c:ser>
        <c:ser>
          <c:idx val="1"/>
          <c:order val="1"/>
          <c:tx>
            <c:v>Emotional Support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13</c:v>
              </c:pt>
              <c:pt idx="1">
                <c:v>8</c:v>
              </c:pt>
              <c:pt idx="2">
                <c:v>15</c:v>
              </c:pt>
              <c:pt idx="3">
                <c:v>7</c:v>
              </c:pt>
              <c:pt idx="4">
                <c:v>12</c:v>
              </c:pt>
              <c:pt idx="5">
                <c:v>4</c:v>
              </c:pt>
              <c:pt idx="6">
                <c:v>12</c:v>
              </c:pt>
              <c:pt idx="7">
                <c:v>4</c:v>
              </c:pt>
              <c:pt idx="8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E7C3-4643-9C9D-4B684334CE16}"/>
            </c:ext>
          </c:extLst>
        </c:ser>
        <c:ser>
          <c:idx val="2"/>
          <c:order val="2"/>
          <c:tx>
            <c:v>Employment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7C3-4643-9C9D-4B684334CE16}"/>
            </c:ext>
          </c:extLst>
        </c:ser>
        <c:ser>
          <c:idx val="3"/>
          <c:order val="3"/>
          <c:tx>
            <c:v>Finance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8</c:v>
              </c:pt>
              <c:pt idx="1">
                <c:v>7</c:v>
              </c:pt>
              <c:pt idx="2">
                <c:v>8</c:v>
              </c:pt>
              <c:pt idx="3">
                <c:v>4</c:v>
              </c:pt>
              <c:pt idx="4">
                <c:v>12</c:v>
              </c:pt>
              <c:pt idx="5">
                <c:v>2</c:v>
              </c:pt>
              <c:pt idx="6">
                <c:v>10</c:v>
              </c:pt>
              <c:pt idx="7">
                <c:v>1</c:v>
              </c:pt>
              <c:pt idx="8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3-E7C3-4643-9C9D-4B684334CE16}"/>
            </c:ext>
          </c:extLst>
        </c:ser>
        <c:ser>
          <c:idx val="4"/>
          <c:order val="4"/>
          <c:tx>
            <c:v>Holiday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2</c:v>
              </c:pt>
              <c:pt idx="3">
                <c:v>3</c:v>
              </c:pt>
              <c:pt idx="4">
                <c:v>3</c:v>
              </c:pt>
              <c:pt idx="5">
                <c:v>0</c:v>
              </c:pt>
              <c:pt idx="6">
                <c:v>2</c:v>
              </c:pt>
              <c:pt idx="7">
                <c:v>2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E7C3-4643-9C9D-4B684334CE16}"/>
            </c:ext>
          </c:extLst>
        </c:ser>
        <c:ser>
          <c:idx val="5"/>
          <c:order val="5"/>
          <c:tx>
            <c:v>Housing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2</c:v>
              </c:pt>
              <c:pt idx="3">
                <c:v>1</c:v>
              </c:pt>
              <c:pt idx="4">
                <c:v>1</c:v>
              </c:pt>
              <c:pt idx="5">
                <c:v>0</c:v>
              </c:pt>
              <c:pt idx="6">
                <c:v>2</c:v>
              </c:pt>
              <c:pt idx="7">
                <c:v>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E7C3-4643-9C9D-4B684334CE16}"/>
            </c:ext>
          </c:extLst>
        </c:ser>
        <c:ser>
          <c:idx val="6"/>
          <c:order val="6"/>
          <c:tx>
            <c:v>Making a Will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6-E7C3-4643-9C9D-4B684334CE16}"/>
            </c:ext>
          </c:extLst>
        </c:ser>
        <c:ser>
          <c:idx val="7"/>
          <c:order val="7"/>
          <c:tx>
            <c:v>Occupational Therapy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E7C3-4643-9C9D-4B684334CE16}"/>
            </c:ext>
          </c:extLst>
        </c:ser>
        <c:ser>
          <c:idx val="8"/>
          <c:order val="8"/>
          <c:tx>
            <c:v>Transport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3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E7C3-4643-9C9D-4B684334CE16}"/>
            </c:ext>
          </c:extLst>
        </c:ser>
        <c:ser>
          <c:idx val="9"/>
          <c:order val="9"/>
          <c:tx>
            <c:v>Treatment Options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Hospital 1</c:v>
              </c:pt>
              <c:pt idx="1">
                <c:v>Hospital 2</c:v>
              </c:pt>
              <c:pt idx="2">
                <c:v>Hospital 3</c:v>
              </c:pt>
              <c:pt idx="3">
                <c:v>Hospital 4</c:v>
              </c:pt>
              <c:pt idx="4">
                <c:v>Hospital 5</c:v>
              </c:pt>
              <c:pt idx="5">
                <c:v>Hospital 6</c:v>
              </c:pt>
              <c:pt idx="6">
                <c:v>Hospital 7</c:v>
              </c:pt>
              <c:pt idx="7">
                <c:v>Hospital 8</c:v>
              </c:pt>
              <c:pt idx="8">
                <c:v>Hospital 9</c:v>
              </c:pt>
            </c:strLit>
          </c:cat>
          <c:val>
            <c:numLit>
              <c:formatCode>General</c:formatCode>
              <c:ptCount val="9"/>
              <c:pt idx="0">
                <c:v>5</c:v>
              </c:pt>
              <c:pt idx="1">
                <c:v>0</c:v>
              </c:pt>
              <c:pt idx="2">
                <c:v>4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  <c:pt idx="6">
                <c:v>3</c:v>
              </c:pt>
              <c:pt idx="7">
                <c:v>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9-E7C3-4643-9C9D-4B684334C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7275424"/>
        <c:axId val="367272544"/>
      </c:barChart>
      <c:catAx>
        <c:axId val="3672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72544"/>
        <c:crosses val="autoZero"/>
        <c:auto val="1"/>
        <c:lblAlgn val="ctr"/>
        <c:lblOffset val="100"/>
        <c:noMultiLvlLbl val="0"/>
      </c:catAx>
      <c:valAx>
        <c:axId val="3672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7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[Fiona_Maclean_HospitalData_Excel.xlsx]AvgPatientsPerVisit!PivotTable6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Patients Engaged Per Visit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AvgPatientsPerVisit!$B$3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AvgPatientsPerVisit!$A$4:$A$13</c:f>
              <c:strCache>
                <c:ptCount val="9"/>
                <c:pt idx="0">
                  <c:v>Hospital 1</c:v>
                </c:pt>
                <c:pt idx="1">
                  <c:v>Hospital 2</c:v>
                </c:pt>
                <c:pt idx="2">
                  <c:v>Hospital 3</c:v>
                </c:pt>
                <c:pt idx="3">
                  <c:v>Hospital 4</c:v>
                </c:pt>
                <c:pt idx="4">
                  <c:v>Hospital 5</c:v>
                </c:pt>
                <c:pt idx="5">
                  <c:v>Hospital 6</c:v>
                </c:pt>
                <c:pt idx="6">
                  <c:v>Hospital 7</c:v>
                </c:pt>
                <c:pt idx="7">
                  <c:v>Hospital 8</c:v>
                </c:pt>
                <c:pt idx="8">
                  <c:v>Hospital 9</c:v>
                </c:pt>
              </c:strCache>
            </c:strRef>
          </c:cat>
          <c:val>
            <c:numRef>
              <c:f>AvgPatientsPerVisit!$B$4:$B$13</c:f>
              <c:numCache>
                <c:formatCode>0.0</c:formatCode>
                <c:ptCount val="9"/>
                <c:pt idx="0">
                  <c:v>32.529411764705884</c:v>
                </c:pt>
                <c:pt idx="1">
                  <c:v>22.555555555555557</c:v>
                </c:pt>
                <c:pt idx="2">
                  <c:v>24.794871794871796</c:v>
                </c:pt>
                <c:pt idx="3">
                  <c:v>17.649999999999999</c:v>
                </c:pt>
                <c:pt idx="4">
                  <c:v>28.583333333333332</c:v>
                </c:pt>
                <c:pt idx="5">
                  <c:v>15.714285714285714</c:v>
                </c:pt>
                <c:pt idx="6">
                  <c:v>34.909090909090907</c:v>
                </c:pt>
                <c:pt idx="7">
                  <c:v>12.285714285714286</c:v>
                </c:pt>
                <c:pt idx="8">
                  <c:v>16.428571428571427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E-4C3C-853A-71F14327E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280224"/>
        <c:axId val="367272064"/>
      </c:barChart>
      <c:catAx>
        <c:axId val="3672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72064"/>
        <c:crosses val="autoZero"/>
        <c:auto val="1"/>
        <c:lblAlgn val="ctr"/>
        <c:lblOffset val="100"/>
        <c:noMultiLvlLbl val="0"/>
      </c:catAx>
      <c:valAx>
        <c:axId val="3672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[Fiona_Maclean_HospitalData_Excel.xlsx]AvgReferralRate!PivotTable7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Average % of Referrals from Engagements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AvgReferralRate!$B$3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AvgReferralRate!$A$4:$A$13</c:f>
              <c:strCache>
                <c:ptCount val="9"/>
                <c:pt idx="0">
                  <c:v>Hospital 1</c:v>
                </c:pt>
                <c:pt idx="1">
                  <c:v>Hospital 2</c:v>
                </c:pt>
                <c:pt idx="2">
                  <c:v>Hospital 3</c:v>
                </c:pt>
                <c:pt idx="3">
                  <c:v>Hospital 4</c:v>
                </c:pt>
                <c:pt idx="4">
                  <c:v>Hospital 5</c:v>
                </c:pt>
                <c:pt idx="5">
                  <c:v>Hospital 6</c:v>
                </c:pt>
                <c:pt idx="6">
                  <c:v>Hospital 7</c:v>
                </c:pt>
                <c:pt idx="7">
                  <c:v>Hospital 8</c:v>
                </c:pt>
                <c:pt idx="8">
                  <c:v>Hospital 9</c:v>
                </c:pt>
              </c:strCache>
            </c:strRef>
          </c:cat>
          <c:val>
            <c:numRef>
              <c:f>AvgReferralRate!$B$4:$B$13</c:f>
              <c:numCache>
                <c:formatCode>0.00%</c:formatCode>
                <c:ptCount val="9"/>
                <c:pt idx="0">
                  <c:v>0.35077052764679539</c:v>
                </c:pt>
                <c:pt idx="1">
                  <c:v>0.2739130434782609</c:v>
                </c:pt>
                <c:pt idx="2">
                  <c:v>0.40413007171627885</c:v>
                </c:pt>
                <c:pt idx="3">
                  <c:v>0.3491358604845447</c:v>
                </c:pt>
                <c:pt idx="4">
                  <c:v>0.43571377891301294</c:v>
                </c:pt>
                <c:pt idx="5">
                  <c:v>0.22629051620648261</c:v>
                </c:pt>
                <c:pt idx="6">
                  <c:v>0.47816399286987493</c:v>
                </c:pt>
                <c:pt idx="7">
                  <c:v>0.19990723562152132</c:v>
                </c:pt>
                <c:pt idx="8">
                  <c:v>0.31351001939237239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D-4EB6-A97C-B91CDEFC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655136"/>
        <c:axId val="1040674336"/>
      </c:barChart>
      <c:catAx>
        <c:axId val="104065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74336"/>
        <c:crosses val="autoZero"/>
        <c:auto val="1"/>
        <c:lblAlgn val="ctr"/>
        <c:lblOffset val="100"/>
        <c:noMultiLvlLbl val="0"/>
      </c:catAx>
      <c:valAx>
        <c:axId val="104067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5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2</xdr:row>
      <xdr:rowOff>7620</xdr:rowOff>
    </xdr:from>
    <xdr:to>
      <xdr:col>16</xdr:col>
      <xdr:colOff>342900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99B5A-9145-5BE7-4804-9AAF79FB2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175260</xdr:rowOff>
    </xdr:from>
    <xdr:to>
      <xdr:col>16</xdr:col>
      <xdr:colOff>350520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F249B-9AE6-4F69-8973-A3A04015D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2</xdr:row>
      <xdr:rowOff>7620</xdr:rowOff>
    </xdr:from>
    <xdr:to>
      <xdr:col>16</xdr:col>
      <xdr:colOff>327660</xdr:colOff>
      <xdr:row>28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9EA5F-ED90-4F96-B858-AF6408696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1</xdr:row>
      <xdr:rowOff>171450</xdr:rowOff>
    </xdr:from>
    <xdr:to>
      <xdr:col>16</xdr:col>
      <xdr:colOff>304800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C6B13-B1BC-9A2C-FA33-6FE867473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7620</xdr:rowOff>
    </xdr:from>
    <xdr:to>
      <xdr:col>16</xdr:col>
      <xdr:colOff>320040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FA4BB-5E62-2F5E-6D59-C78951A24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76200</xdr:rowOff>
    </xdr:from>
    <xdr:to>
      <xdr:col>18</xdr:col>
      <xdr:colOff>525780</xdr:colOff>
      <xdr:row>30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329490-0E93-EFC1-E549-496BD073BA76}"/>
            </a:ext>
          </a:extLst>
        </xdr:cNvPr>
        <xdr:cNvSpPr txBox="1"/>
      </xdr:nvSpPr>
      <xdr:spPr>
        <a:xfrm>
          <a:off x="152400" y="76200"/>
          <a:ext cx="11346180" cy="548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 u="sng"/>
            <a:t>General Notes</a:t>
          </a:r>
        </a:p>
        <a:p>
          <a:r>
            <a:rPr lang="en-GB" b="1"/>
            <a:t>Dataset</a:t>
          </a:r>
          <a:br>
            <a:rPr lang="en-GB"/>
          </a:br>
          <a:r>
            <a:rPr lang="en-GB"/>
            <a:t>Synthetic and anonymised data representing hospital visits over a</a:t>
          </a:r>
          <a:r>
            <a:rPr lang="en-GB" baseline="0"/>
            <a:t> six-month</a:t>
          </a:r>
          <a:r>
            <a:rPr lang="en-GB"/>
            <a:t> period. Hospitals are labelled generically as </a:t>
          </a:r>
          <a:r>
            <a:rPr lang="en-GB" i="1"/>
            <a:t>Hospital 1, Hospital 2</a:t>
          </a:r>
          <a:r>
            <a:rPr lang="en-GB"/>
            <a:t>, etc.</a:t>
          </a:r>
        </a:p>
        <a:p>
          <a:r>
            <a:rPr lang="en-GB" b="1"/>
            <a:t>Data format</a:t>
          </a:r>
          <a:br>
            <a:rPr lang="en-GB"/>
          </a:br>
          <a:r>
            <a:rPr lang="en-GB"/>
            <a:t>Long format (one row per referral per visit). This structure allows pivot tables and charts to summarise referral counts accurately.</a:t>
          </a:r>
        </a:p>
        <a:p>
          <a:r>
            <a:rPr lang="en-GB"/>
            <a:t>Each row represents a single referral. Pivot tables use </a:t>
          </a:r>
          <a:r>
            <a:rPr lang="en-GB" b="0"/>
            <a:t>count of rows </a:t>
          </a:r>
          <a:r>
            <a:rPr lang="en-GB"/>
            <a:t>to calculate total referrals, rather than summing the </a:t>
          </a:r>
          <a:r>
            <a:rPr lang="en-GB" i="1"/>
            <a:t>Referrals</a:t>
          </a:r>
          <a:r>
            <a:rPr lang="en-GB"/>
            <a:t> column, to avoid double-counting.</a:t>
          </a:r>
        </a:p>
        <a:p>
          <a:r>
            <a:rPr lang="en-GB" b="1"/>
            <a:t>Key columns</a:t>
          </a:r>
          <a:endParaRPr lang="en-GB"/>
        </a:p>
        <a:p>
          <a:r>
            <a:rPr lang="en-GB" b="1"/>
            <a:t>VisitID</a:t>
          </a:r>
          <a:r>
            <a:rPr lang="en-GB"/>
            <a:t> – Unique identifier for each visit, created from </a:t>
          </a:r>
          <a:r>
            <a:rPr lang="en-GB" i="1"/>
            <a:t>Date</a:t>
          </a:r>
          <a:r>
            <a:rPr lang="en-GB"/>
            <a:t> and </a:t>
          </a:r>
          <a:r>
            <a:rPr lang="en-GB" i="1"/>
            <a:t>Hospital</a:t>
          </a:r>
          <a:r>
            <a:rPr lang="en-GB"/>
            <a:t>.</a:t>
          </a:r>
        </a:p>
        <a:p>
          <a:r>
            <a:rPr lang="en-GB" b="1"/>
            <a:t>DeduplicatedPatientsEngaged</a:t>
          </a:r>
          <a:r>
            <a:rPr lang="en-GB"/>
            <a:t> – Ensures each visit’s patient count is only counted once, even when multiple referrals are recorded for the same visit.</a:t>
          </a:r>
        </a:p>
        <a:p>
          <a:r>
            <a:rPr lang="en-GB" b="1"/>
            <a:t>ReferralRate</a:t>
          </a:r>
          <a:r>
            <a:rPr lang="en-GB"/>
            <a:t> – Calculated as </a:t>
          </a:r>
          <a:r>
            <a:rPr lang="en-GB" i="1"/>
            <a:t>Referrals ÷ PatientsEngaged</a:t>
          </a:r>
          <a:r>
            <a:rPr lang="en-GB"/>
            <a:t> and formatted as a percentage with two decimal places.</a:t>
          </a:r>
        </a:p>
        <a:p>
          <a:r>
            <a:rPr lang="en-GB" b="1"/>
            <a:t>Purpose</a:t>
          </a:r>
          <a:br>
            <a:rPr lang="en-GB"/>
          </a:br>
          <a:r>
            <a:rPr lang="en-GB"/>
            <a:t>This workbook demonstrates Excel skills including data structuring</a:t>
          </a:r>
          <a:r>
            <a:rPr lang="en-GB" b="0"/>
            <a:t>, formulas and calculated fields</a:t>
          </a:r>
          <a:r>
            <a:rPr lang="en-GB"/>
            <a:t>, pivot tables, and data visualisation.</a:t>
          </a:r>
        </a:p>
        <a:p>
          <a:endParaRPr lang="en-GB"/>
        </a:p>
        <a:p>
          <a:r>
            <a:rPr lang="en-GB" b="1" u="sng"/>
            <a:t>Sheet Notes </a:t>
          </a:r>
        </a:p>
        <a:p>
          <a:r>
            <a:rPr lang="en-GB" b="1"/>
            <a:t>ReferralsByType</a:t>
          </a:r>
          <a:r>
            <a:rPr lang="en-GB"/>
            <a:t> – Shows the total number of referrals by referral type across all hospitals and visits. Each row in the dataset represents a single referral, so totals are calculated </a:t>
          </a:r>
          <a:r>
            <a:rPr lang="en-GB" b="0"/>
            <a:t>using count of rows </a:t>
          </a:r>
          <a:r>
            <a:rPr lang="en-GB"/>
            <a:t>rather than summing visit-level referral totals. This chart highlights the most common presenting issues. Data is summarised using a Pivot Table with </a:t>
          </a:r>
          <a:r>
            <a:rPr lang="en-GB" b="0"/>
            <a:t>count of ReferralType </a:t>
          </a:r>
          <a:r>
            <a:rPr lang="en-GB"/>
            <a:t>as the value field.</a:t>
          </a:r>
        </a:p>
        <a:p>
          <a:endParaRPr lang="en-GB"/>
        </a:p>
        <a:p>
          <a:r>
            <a:rPr lang="en-GB" b="1"/>
            <a:t>ReferralsByMonth</a:t>
          </a:r>
          <a:r>
            <a:rPr lang="en-GB"/>
            <a:t> – Shows the total number of referrals each month, broken down by referral type. The stacked bars highlight trends over time and the relative contribution of each referral category.</a:t>
          </a:r>
        </a:p>
        <a:p>
          <a:endParaRPr lang="en-GB"/>
        </a:p>
        <a:p>
          <a:r>
            <a:rPr lang="en-GB" b="1"/>
            <a:t>ReferralsByMonthHospital</a:t>
          </a:r>
          <a:r>
            <a:rPr lang="en-GB"/>
            <a:t> – Shows the total number of referrals per month, with each hospital represented as a stacked colour. Totals are calculated using </a:t>
          </a:r>
          <a:r>
            <a:rPr lang="en-GB" b="0"/>
            <a:t>count of rows </a:t>
          </a:r>
          <a:r>
            <a:rPr lang="en-GB"/>
            <a:t>from the Data table. This chart allows comparison of monthly referral trends across hospitals.</a:t>
          </a:r>
        </a:p>
        <a:p>
          <a:endParaRPr lang="en-GB"/>
        </a:p>
        <a:p>
          <a:r>
            <a:rPr lang="en-GB" b="1"/>
            <a:t>ReferralsByHospitalType</a:t>
          </a:r>
          <a:r>
            <a:rPr lang="en-GB"/>
            <a:t> – Shows total referrals for each hospital, with referral types represented as stacked colours. Totals are calculated using </a:t>
          </a:r>
          <a:r>
            <a:rPr lang="en-GB" b="0"/>
            <a:t>count of rows </a:t>
          </a:r>
          <a:r>
            <a:rPr lang="en-GB"/>
            <a:t>from the Data table. This chart allows comparison of both overall referral volume and referral category distribution across hospitals.</a:t>
          </a:r>
        </a:p>
        <a:p>
          <a:endParaRPr lang="en-GB"/>
        </a:p>
        <a:p>
          <a:r>
            <a:rPr lang="en-GB" b="1"/>
            <a:t>AvgPatientsPerVisit</a:t>
          </a:r>
          <a:r>
            <a:rPr lang="en-GB"/>
            <a:t> – Shows the average number of patients engaged per visit at each hospital. Data is summarised using a Pivot Table with </a:t>
          </a:r>
          <a:r>
            <a:rPr lang="en-GB" i="1"/>
            <a:t>Hospital</a:t>
          </a:r>
          <a:r>
            <a:rPr lang="en-GB"/>
            <a:t> as the grouping variable and </a:t>
          </a:r>
          <a:r>
            <a:rPr lang="en-GB" b="0"/>
            <a:t>average of PatientsEngaged as the value field. This chart allows comparison of typical engagement levels across hospitals.</a:t>
          </a:r>
        </a:p>
        <a:p>
          <a:endParaRPr lang="en-GB"/>
        </a:p>
        <a:p>
          <a:r>
            <a:rPr lang="en-GB" b="1"/>
            <a:t>AvgReferralRate</a:t>
          </a:r>
          <a:r>
            <a:rPr lang="en-GB"/>
            <a:t> – Shows the average percentage of referrals from patients engaged at each hospital. Data is summarised using a Pivot Table with </a:t>
          </a:r>
          <a:r>
            <a:rPr lang="en-GB" i="1"/>
            <a:t>Hospital</a:t>
          </a:r>
          <a:r>
            <a:rPr lang="en-GB"/>
            <a:t> as the grouping variable and </a:t>
          </a:r>
          <a:r>
            <a:rPr lang="en-GB" b="0"/>
            <a:t>average of ReferralRate as the value field (ReferralRate = Referrals ÷ PatientsEngaged). This chart allows comparison of referral efficiency across hospitals.</a:t>
          </a:r>
        </a:p>
        <a:p>
          <a:r>
            <a:rPr lang="en-GB"/>
            <a:t>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an F" refreshedDate="46062.835216203704" createdVersion="8" refreshedVersion="8" minRefreshableVersion="3" recordCount="201" xr:uid="{86831F9C-EF71-4963-B75B-744FE3591ED4}">
  <cacheSource type="worksheet">
    <worksheetSource name="Table1"/>
  </cacheSource>
  <cacheFields count="10">
    <cacheField name="Date" numFmtId="14">
      <sharedItems containsSemiMixedTypes="0" containsNonDate="0" containsDate="1" containsString="0" minDate="2025-01-07T00:00:00" maxDate="2025-06-28T00:00:00" count="26">
        <d v="2025-01-07T00:00:00"/>
        <d v="2025-01-10T00:00:00"/>
        <d v="2025-01-13T00:00:00"/>
        <d v="2025-01-14T00:00:00"/>
        <d v="2025-01-16T00:00:00"/>
        <d v="2025-01-23T00:00:00"/>
        <d v="2025-01-27T00:00:00"/>
        <d v="2025-02-13T00:00:00"/>
        <d v="2025-02-17T00:00:00"/>
        <d v="2025-03-03T00:00:00"/>
        <d v="2025-03-11T00:00:00"/>
        <d v="2025-03-17T00:00:00"/>
        <d v="2025-04-03T00:00:00"/>
        <d v="2025-04-08T00:00:00"/>
        <d v="2025-04-14T00:00:00"/>
        <d v="2025-04-28T00:00:00"/>
        <d v="2025-05-13T00:00:00"/>
        <d v="2025-05-19T00:00:00"/>
        <d v="2025-05-27T00:00:00"/>
        <d v="2025-05-29T00:00:00"/>
        <d v="2025-06-02T00:00:00"/>
        <d v="2025-06-05T00:00:00"/>
        <d v="2025-06-10T00:00:00"/>
        <d v="2025-06-16T00:00:00"/>
        <d v="2025-06-17T00:00:00"/>
        <d v="2025-06-27T00:00:00"/>
      </sharedItems>
      <fieldGroup par="9"/>
    </cacheField>
    <cacheField name="Hospital" numFmtId="14">
      <sharedItems count="9">
        <s v="Hospital 1"/>
        <s v="Hospital 2"/>
        <s v="Hospital 3"/>
        <s v="Hospital 4"/>
        <s v="Hospital 5"/>
        <s v="Hospital 6"/>
        <s v="Hospital 7"/>
        <s v="Hospital 8"/>
        <s v="Hospital 9"/>
      </sharedItems>
    </cacheField>
    <cacheField name="PatientsEngaged" numFmtId="0">
      <sharedItems containsSemiMixedTypes="0" containsString="0" containsNumber="1" containsInteger="1" minValue="11" maxValue="36" count="18">
        <n v="35"/>
        <n v="23"/>
        <n v="29"/>
        <n v="16"/>
        <n v="18"/>
        <n v="19"/>
        <n v="25"/>
        <n v="30"/>
        <n v="14"/>
        <n v="34"/>
        <n v="12"/>
        <n v="13"/>
        <n v="27"/>
        <n v="17"/>
        <n v="33"/>
        <n v="20"/>
        <n v="36"/>
        <n v="11"/>
      </sharedItems>
    </cacheField>
    <cacheField name="Referrals " numFmtId="0">
      <sharedItems containsSemiMixedTypes="0" containsString="0" containsNumber="1" containsInteger="1" minValue="1" maxValue="18"/>
    </cacheField>
    <cacheField name="ReferralRate" numFmtId="10">
      <sharedItems containsSemiMixedTypes="0" containsString="0" containsNumber="1" minValue="7.6923076923076927E-2" maxValue="0.52941176470588236"/>
    </cacheField>
    <cacheField name="ReferralType" numFmtId="0">
      <sharedItems count="10">
        <s v="Holiday"/>
        <s v="Housing"/>
        <s v="Finance"/>
        <s v="Emotional Support"/>
        <s v="Diet"/>
        <s v="Treatment Options"/>
        <s v="Occupational Therapy"/>
        <s v="Transport"/>
        <s v="Employment"/>
        <s v="Making a Will"/>
      </sharedItems>
    </cacheField>
    <cacheField name="VisitID" numFmtId="0">
      <sharedItems/>
    </cacheField>
    <cacheField name="DeduplicatedPatientsEngaged" numFmtId="0">
      <sharedItems containsSemiMixedTypes="0" containsString="0" containsNumber="1" containsInteger="1" minValue="0" maxValue="36"/>
    </cacheField>
    <cacheField name="Days (Date)" numFmtId="0" databaseField="0">
      <fieldGroup base="0">
        <rangePr groupBy="days" startDate="2025-01-07T00:00:00" endDate="2025-06-28T00:00:00"/>
        <groupItems count="368">
          <s v="&lt;07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/06/2025"/>
        </groupItems>
      </fieldGroup>
    </cacheField>
    <cacheField name="Months (Date)" numFmtId="0" databaseField="0">
      <fieldGroup base="0">
        <rangePr groupBy="months" startDate="2025-01-07T00:00:00" endDate="2025-06-28T00:00:00"/>
        <groupItems count="14">
          <s v="&lt;07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x v="0"/>
    <x v="0"/>
    <n v="12"/>
    <n v="0.34285714285714286"/>
    <x v="0"/>
    <s v="20250107-Hospital 1"/>
    <n v="35"/>
  </r>
  <r>
    <x v="0"/>
    <x v="0"/>
    <x v="0"/>
    <n v="12"/>
    <n v="0.34285714285714286"/>
    <x v="1"/>
    <s v="20250107-Hospital 1"/>
    <n v="0"/>
  </r>
  <r>
    <x v="0"/>
    <x v="0"/>
    <x v="0"/>
    <n v="12"/>
    <n v="0.34285714285714286"/>
    <x v="2"/>
    <s v="20250107-Hospital 1"/>
    <n v="0"/>
  </r>
  <r>
    <x v="0"/>
    <x v="0"/>
    <x v="0"/>
    <n v="12"/>
    <n v="0.34285714285714286"/>
    <x v="2"/>
    <s v="20250107-Hospital 1"/>
    <n v="0"/>
  </r>
  <r>
    <x v="0"/>
    <x v="0"/>
    <x v="0"/>
    <n v="12"/>
    <n v="0.34285714285714286"/>
    <x v="3"/>
    <s v="20250107-Hospital 1"/>
    <n v="0"/>
  </r>
  <r>
    <x v="0"/>
    <x v="0"/>
    <x v="0"/>
    <n v="12"/>
    <n v="0.34285714285714286"/>
    <x v="3"/>
    <s v="20250107-Hospital 1"/>
    <n v="0"/>
  </r>
  <r>
    <x v="0"/>
    <x v="0"/>
    <x v="0"/>
    <n v="12"/>
    <n v="0.34285714285714286"/>
    <x v="3"/>
    <s v="20250107-Hospital 1"/>
    <n v="0"/>
  </r>
  <r>
    <x v="0"/>
    <x v="0"/>
    <x v="0"/>
    <n v="12"/>
    <n v="0.34285714285714286"/>
    <x v="4"/>
    <s v="20250107-Hospital 1"/>
    <n v="0"/>
  </r>
  <r>
    <x v="0"/>
    <x v="0"/>
    <x v="0"/>
    <n v="12"/>
    <n v="0.34285714285714286"/>
    <x v="5"/>
    <s v="20250107-Hospital 1"/>
    <n v="0"/>
  </r>
  <r>
    <x v="0"/>
    <x v="0"/>
    <x v="0"/>
    <n v="12"/>
    <n v="0.34285714285714286"/>
    <x v="5"/>
    <s v="20250107-Hospital 1"/>
    <n v="0"/>
  </r>
  <r>
    <x v="0"/>
    <x v="0"/>
    <x v="0"/>
    <n v="12"/>
    <n v="0.34285714285714286"/>
    <x v="3"/>
    <s v="20250107-Hospital 1"/>
    <n v="0"/>
  </r>
  <r>
    <x v="0"/>
    <x v="0"/>
    <x v="0"/>
    <n v="12"/>
    <n v="0.34285714285714286"/>
    <x v="3"/>
    <s v="20250107-Hospital 1"/>
    <n v="0"/>
  </r>
  <r>
    <x v="1"/>
    <x v="1"/>
    <x v="1"/>
    <n v="7"/>
    <n v="0.30434782608695654"/>
    <x v="2"/>
    <s v="20250110-Hospital 2"/>
    <n v="23"/>
  </r>
  <r>
    <x v="1"/>
    <x v="1"/>
    <x v="1"/>
    <n v="7"/>
    <n v="0.30434782608695654"/>
    <x v="2"/>
    <s v="20250110-Hospital 2"/>
    <n v="0"/>
  </r>
  <r>
    <x v="1"/>
    <x v="1"/>
    <x v="1"/>
    <n v="7"/>
    <n v="0.30434782608695654"/>
    <x v="2"/>
    <s v="20250110-Hospital 2"/>
    <n v="0"/>
  </r>
  <r>
    <x v="1"/>
    <x v="1"/>
    <x v="1"/>
    <n v="7"/>
    <n v="0.30434782608695654"/>
    <x v="3"/>
    <s v="20250110-Hospital 2"/>
    <n v="0"/>
  </r>
  <r>
    <x v="1"/>
    <x v="1"/>
    <x v="1"/>
    <n v="7"/>
    <n v="0.30434782608695654"/>
    <x v="3"/>
    <s v="20250110-Hospital 2"/>
    <n v="0"/>
  </r>
  <r>
    <x v="1"/>
    <x v="1"/>
    <x v="1"/>
    <n v="7"/>
    <n v="0.30434782608695654"/>
    <x v="3"/>
    <s v="20250110-Hospital 2"/>
    <n v="0"/>
  </r>
  <r>
    <x v="1"/>
    <x v="1"/>
    <x v="1"/>
    <n v="7"/>
    <n v="0.30434782608695654"/>
    <x v="0"/>
    <s v="20250110-Hospital 2"/>
    <n v="0"/>
  </r>
  <r>
    <x v="2"/>
    <x v="2"/>
    <x v="2"/>
    <n v="12"/>
    <n v="0.41379310344827586"/>
    <x v="4"/>
    <s v="20250113-Hospital 3"/>
    <n v="29"/>
  </r>
  <r>
    <x v="2"/>
    <x v="2"/>
    <x v="2"/>
    <n v="12"/>
    <n v="0.41379310344827586"/>
    <x v="6"/>
    <s v="20250113-Hospital 3"/>
    <n v="0"/>
  </r>
  <r>
    <x v="2"/>
    <x v="2"/>
    <x v="2"/>
    <n v="12"/>
    <n v="0.41379310344827586"/>
    <x v="2"/>
    <s v="20250113-Hospital 3"/>
    <n v="0"/>
  </r>
  <r>
    <x v="2"/>
    <x v="2"/>
    <x v="2"/>
    <n v="12"/>
    <n v="0.41379310344827586"/>
    <x v="2"/>
    <s v="20250113-Hospital 3"/>
    <n v="0"/>
  </r>
  <r>
    <x v="2"/>
    <x v="2"/>
    <x v="2"/>
    <n v="12"/>
    <n v="0.41379310344827586"/>
    <x v="3"/>
    <s v="20250113-Hospital 3"/>
    <n v="0"/>
  </r>
  <r>
    <x v="2"/>
    <x v="2"/>
    <x v="2"/>
    <n v="12"/>
    <n v="0.41379310344827586"/>
    <x v="3"/>
    <s v="20250113-Hospital 3"/>
    <n v="0"/>
  </r>
  <r>
    <x v="2"/>
    <x v="2"/>
    <x v="2"/>
    <n v="12"/>
    <n v="0.41379310344827586"/>
    <x v="3"/>
    <s v="20250113-Hospital 3"/>
    <n v="0"/>
  </r>
  <r>
    <x v="2"/>
    <x v="2"/>
    <x v="2"/>
    <n v="12"/>
    <n v="0.41379310344827586"/>
    <x v="0"/>
    <s v="20250113-Hospital 3"/>
    <n v="0"/>
  </r>
  <r>
    <x v="2"/>
    <x v="2"/>
    <x v="2"/>
    <n v="12"/>
    <n v="0.41379310344827586"/>
    <x v="7"/>
    <s v="20250113-Hospital 3"/>
    <n v="0"/>
  </r>
  <r>
    <x v="2"/>
    <x v="2"/>
    <x v="2"/>
    <n v="12"/>
    <n v="0.41379310344827586"/>
    <x v="3"/>
    <s v="20250113-Hospital 3"/>
    <n v="0"/>
  </r>
  <r>
    <x v="2"/>
    <x v="2"/>
    <x v="2"/>
    <n v="12"/>
    <n v="0.41379310344827586"/>
    <x v="1"/>
    <s v="20250113-Hospital 3"/>
    <n v="0"/>
  </r>
  <r>
    <x v="2"/>
    <x v="2"/>
    <x v="2"/>
    <n v="12"/>
    <n v="0.41379310344827586"/>
    <x v="5"/>
    <s v="20250113-Hospital 3"/>
    <n v="0"/>
  </r>
  <r>
    <x v="3"/>
    <x v="3"/>
    <x v="3"/>
    <n v="3"/>
    <n v="0.1875"/>
    <x v="2"/>
    <s v="20250114-Hospital 4"/>
    <n v="16"/>
  </r>
  <r>
    <x v="3"/>
    <x v="3"/>
    <x v="3"/>
    <n v="3"/>
    <n v="0.1875"/>
    <x v="2"/>
    <s v="20250114-Hospital 4"/>
    <n v="0"/>
  </r>
  <r>
    <x v="3"/>
    <x v="3"/>
    <x v="3"/>
    <n v="3"/>
    <n v="0.1875"/>
    <x v="3"/>
    <s v="20250114-Hospital 4"/>
    <n v="0"/>
  </r>
  <r>
    <x v="4"/>
    <x v="3"/>
    <x v="4"/>
    <n v="8"/>
    <n v="0.44444444444444442"/>
    <x v="1"/>
    <s v="20250116-Hospital 4"/>
    <n v="18"/>
  </r>
  <r>
    <x v="4"/>
    <x v="3"/>
    <x v="4"/>
    <n v="8"/>
    <n v="0.44444444444444442"/>
    <x v="4"/>
    <s v="20250116-Hospital 4"/>
    <n v="0"/>
  </r>
  <r>
    <x v="4"/>
    <x v="3"/>
    <x v="4"/>
    <n v="8"/>
    <n v="0.44444444444444442"/>
    <x v="6"/>
    <s v="20250116-Hospital 4"/>
    <n v="0"/>
  </r>
  <r>
    <x v="4"/>
    <x v="3"/>
    <x v="4"/>
    <n v="8"/>
    <n v="0.44444444444444442"/>
    <x v="3"/>
    <s v="20250116-Hospital 4"/>
    <n v="0"/>
  </r>
  <r>
    <x v="4"/>
    <x v="3"/>
    <x v="4"/>
    <n v="8"/>
    <n v="0.44444444444444442"/>
    <x v="3"/>
    <s v="20250116-Hospital 4"/>
    <n v="0"/>
  </r>
  <r>
    <x v="4"/>
    <x v="3"/>
    <x v="4"/>
    <n v="8"/>
    <n v="0.44444444444444442"/>
    <x v="3"/>
    <s v="20250116-Hospital 4"/>
    <n v="0"/>
  </r>
  <r>
    <x v="4"/>
    <x v="3"/>
    <x v="4"/>
    <n v="8"/>
    <n v="0.44444444444444442"/>
    <x v="0"/>
    <s v="20250116-Hospital 4"/>
    <n v="0"/>
  </r>
  <r>
    <x v="4"/>
    <x v="3"/>
    <x v="4"/>
    <n v="8"/>
    <n v="0.44444444444444442"/>
    <x v="2"/>
    <s v="20250116-Hospital 4"/>
    <n v="0"/>
  </r>
  <r>
    <x v="5"/>
    <x v="0"/>
    <x v="2"/>
    <n v="10"/>
    <n v="0.34482758620689657"/>
    <x v="5"/>
    <s v="20250123-Hospital 1"/>
    <n v="29"/>
  </r>
  <r>
    <x v="5"/>
    <x v="0"/>
    <x v="2"/>
    <n v="10"/>
    <n v="0.34482758620689657"/>
    <x v="5"/>
    <s v="20250123-Hospital 1"/>
    <n v="0"/>
  </r>
  <r>
    <x v="5"/>
    <x v="0"/>
    <x v="2"/>
    <n v="10"/>
    <n v="0.34482758620689657"/>
    <x v="6"/>
    <s v="20250123-Hospital 1"/>
    <n v="0"/>
  </r>
  <r>
    <x v="5"/>
    <x v="0"/>
    <x v="2"/>
    <n v="10"/>
    <n v="0.34482758620689657"/>
    <x v="7"/>
    <s v="20250123-Hospital 1"/>
    <n v="0"/>
  </r>
  <r>
    <x v="5"/>
    <x v="0"/>
    <x v="2"/>
    <n v="10"/>
    <n v="0.34482758620689657"/>
    <x v="7"/>
    <s v="20250123-Hospital 1"/>
    <n v="0"/>
  </r>
  <r>
    <x v="5"/>
    <x v="0"/>
    <x v="2"/>
    <n v="10"/>
    <n v="0.34482758620689657"/>
    <x v="3"/>
    <s v="20250123-Hospital 1"/>
    <n v="0"/>
  </r>
  <r>
    <x v="5"/>
    <x v="0"/>
    <x v="2"/>
    <n v="10"/>
    <n v="0.34482758620689657"/>
    <x v="3"/>
    <s v="20250123-Hospital 1"/>
    <n v="0"/>
  </r>
  <r>
    <x v="5"/>
    <x v="0"/>
    <x v="2"/>
    <n v="10"/>
    <n v="0.34482758620689657"/>
    <x v="3"/>
    <s v="20250123-Hospital 1"/>
    <n v="0"/>
  </r>
  <r>
    <x v="5"/>
    <x v="0"/>
    <x v="2"/>
    <n v="10"/>
    <n v="0.34482758620689657"/>
    <x v="2"/>
    <s v="20250123-Hospital 1"/>
    <n v="0"/>
  </r>
  <r>
    <x v="5"/>
    <x v="0"/>
    <x v="2"/>
    <n v="10"/>
    <n v="0.34482758620689657"/>
    <x v="2"/>
    <s v="20250123-Hospital 1"/>
    <n v="0"/>
  </r>
  <r>
    <x v="6"/>
    <x v="3"/>
    <x v="5"/>
    <n v="7"/>
    <n v="0.36842105263157893"/>
    <x v="5"/>
    <s v="20250127-Hospital 4"/>
    <n v="19"/>
  </r>
  <r>
    <x v="6"/>
    <x v="3"/>
    <x v="5"/>
    <n v="7"/>
    <n v="0.36842105263157893"/>
    <x v="0"/>
    <s v="20250127-Hospital 4"/>
    <n v="0"/>
  </r>
  <r>
    <x v="6"/>
    <x v="3"/>
    <x v="5"/>
    <n v="7"/>
    <n v="0.36842105263157893"/>
    <x v="3"/>
    <s v="20250127-Hospital 4"/>
    <n v="0"/>
  </r>
  <r>
    <x v="6"/>
    <x v="3"/>
    <x v="5"/>
    <n v="7"/>
    <n v="0.36842105263157893"/>
    <x v="3"/>
    <s v="20250127-Hospital 4"/>
    <n v="0"/>
  </r>
  <r>
    <x v="6"/>
    <x v="3"/>
    <x v="5"/>
    <n v="7"/>
    <n v="0.36842105263157893"/>
    <x v="3"/>
    <s v="20250127-Hospital 4"/>
    <n v="0"/>
  </r>
  <r>
    <x v="6"/>
    <x v="3"/>
    <x v="5"/>
    <n v="7"/>
    <n v="0.36842105263157893"/>
    <x v="2"/>
    <s v="20250127-Hospital 4"/>
    <n v="0"/>
  </r>
  <r>
    <x v="6"/>
    <x v="3"/>
    <x v="5"/>
    <n v="7"/>
    <n v="0.36842105263157893"/>
    <x v="0"/>
    <s v="20250127-Hospital 4"/>
    <n v="0"/>
  </r>
  <r>
    <x v="7"/>
    <x v="1"/>
    <x v="6"/>
    <n v="5"/>
    <n v="0.2"/>
    <x v="3"/>
    <s v="20250213-Hospital 2"/>
    <n v="25"/>
  </r>
  <r>
    <x v="7"/>
    <x v="1"/>
    <x v="6"/>
    <n v="5"/>
    <n v="0.2"/>
    <x v="3"/>
    <s v="20250213-Hospital 2"/>
    <n v="0"/>
  </r>
  <r>
    <x v="7"/>
    <x v="1"/>
    <x v="6"/>
    <n v="5"/>
    <n v="0.2"/>
    <x v="3"/>
    <s v="20250213-Hospital 2"/>
    <n v="0"/>
  </r>
  <r>
    <x v="7"/>
    <x v="1"/>
    <x v="6"/>
    <n v="5"/>
    <n v="0.2"/>
    <x v="2"/>
    <s v="20250213-Hospital 2"/>
    <n v="0"/>
  </r>
  <r>
    <x v="7"/>
    <x v="1"/>
    <x v="6"/>
    <n v="5"/>
    <n v="0.2"/>
    <x v="2"/>
    <s v="20250213-Hospital 2"/>
    <n v="0"/>
  </r>
  <r>
    <x v="8"/>
    <x v="4"/>
    <x v="7"/>
    <n v="13"/>
    <n v="0.43333333333333335"/>
    <x v="5"/>
    <s v="20250217-Hospital 5"/>
    <n v="30"/>
  </r>
  <r>
    <x v="8"/>
    <x v="4"/>
    <x v="7"/>
    <n v="13"/>
    <n v="0.43333333333333335"/>
    <x v="8"/>
    <s v="20250217-Hospital 5"/>
    <n v="0"/>
  </r>
  <r>
    <x v="8"/>
    <x v="4"/>
    <x v="7"/>
    <n v="13"/>
    <n v="0.43333333333333335"/>
    <x v="9"/>
    <s v="20250217-Hospital 5"/>
    <n v="0"/>
  </r>
  <r>
    <x v="8"/>
    <x v="4"/>
    <x v="7"/>
    <n v="13"/>
    <n v="0.43333333333333335"/>
    <x v="1"/>
    <s v="20250217-Hospital 5"/>
    <n v="0"/>
  </r>
  <r>
    <x v="8"/>
    <x v="4"/>
    <x v="7"/>
    <n v="13"/>
    <n v="0.43333333333333335"/>
    <x v="3"/>
    <s v="20250217-Hospital 5"/>
    <n v="0"/>
  </r>
  <r>
    <x v="8"/>
    <x v="4"/>
    <x v="7"/>
    <n v="13"/>
    <n v="0.43333333333333335"/>
    <x v="3"/>
    <s v="20250217-Hospital 5"/>
    <n v="0"/>
  </r>
  <r>
    <x v="8"/>
    <x v="4"/>
    <x v="7"/>
    <n v="13"/>
    <n v="0.43333333333333335"/>
    <x v="3"/>
    <s v="20250217-Hospital 5"/>
    <n v="0"/>
  </r>
  <r>
    <x v="8"/>
    <x v="4"/>
    <x v="7"/>
    <n v="13"/>
    <n v="0.43333333333333335"/>
    <x v="3"/>
    <s v="20250217-Hospital 5"/>
    <n v="0"/>
  </r>
  <r>
    <x v="8"/>
    <x v="4"/>
    <x v="7"/>
    <n v="13"/>
    <n v="0.43333333333333335"/>
    <x v="2"/>
    <s v="20250217-Hospital 5"/>
    <n v="0"/>
  </r>
  <r>
    <x v="8"/>
    <x v="4"/>
    <x v="7"/>
    <n v="13"/>
    <n v="0.43333333333333335"/>
    <x v="2"/>
    <s v="20250217-Hospital 5"/>
    <n v="0"/>
  </r>
  <r>
    <x v="8"/>
    <x v="4"/>
    <x v="7"/>
    <n v="13"/>
    <n v="0.43333333333333335"/>
    <x v="2"/>
    <s v="20250217-Hospital 5"/>
    <n v="0"/>
  </r>
  <r>
    <x v="8"/>
    <x v="4"/>
    <x v="7"/>
    <n v="13"/>
    <n v="0.43333333333333335"/>
    <x v="2"/>
    <s v="20250217-Hospital 5"/>
    <n v="0"/>
  </r>
  <r>
    <x v="8"/>
    <x v="4"/>
    <x v="7"/>
    <n v="13"/>
    <n v="0.43333333333333335"/>
    <x v="2"/>
    <s v="20250217-Hospital 5"/>
    <n v="0"/>
  </r>
  <r>
    <x v="9"/>
    <x v="2"/>
    <x v="6"/>
    <n v="9"/>
    <n v="0.36"/>
    <x v="3"/>
    <s v="20250303-Hospital 3"/>
    <n v="25"/>
  </r>
  <r>
    <x v="9"/>
    <x v="2"/>
    <x v="6"/>
    <n v="9"/>
    <n v="0.36"/>
    <x v="3"/>
    <s v="20250303-Hospital 3"/>
    <n v="0"/>
  </r>
  <r>
    <x v="9"/>
    <x v="2"/>
    <x v="6"/>
    <n v="9"/>
    <n v="0.36"/>
    <x v="3"/>
    <s v="20250303-Hospital 3"/>
    <n v="0"/>
  </r>
  <r>
    <x v="9"/>
    <x v="2"/>
    <x v="6"/>
    <n v="9"/>
    <n v="0.36"/>
    <x v="3"/>
    <s v="20250303-Hospital 3"/>
    <n v="0"/>
  </r>
  <r>
    <x v="9"/>
    <x v="2"/>
    <x v="6"/>
    <n v="9"/>
    <n v="0.36"/>
    <x v="5"/>
    <s v="20250303-Hospital 3"/>
    <n v="0"/>
  </r>
  <r>
    <x v="9"/>
    <x v="2"/>
    <x v="6"/>
    <n v="9"/>
    <n v="0.36"/>
    <x v="4"/>
    <s v="20250303-Hospital 3"/>
    <n v="0"/>
  </r>
  <r>
    <x v="9"/>
    <x v="2"/>
    <x v="6"/>
    <n v="9"/>
    <n v="0.36"/>
    <x v="2"/>
    <s v="20250303-Hospital 3"/>
    <n v="0"/>
  </r>
  <r>
    <x v="9"/>
    <x v="2"/>
    <x v="6"/>
    <n v="9"/>
    <n v="0.36"/>
    <x v="2"/>
    <s v="20250303-Hospital 3"/>
    <n v="0"/>
  </r>
  <r>
    <x v="9"/>
    <x v="2"/>
    <x v="6"/>
    <n v="9"/>
    <n v="0.36"/>
    <x v="8"/>
    <s v="20250303-Hospital 3"/>
    <n v="0"/>
  </r>
  <r>
    <x v="10"/>
    <x v="4"/>
    <x v="2"/>
    <n v="9"/>
    <n v="0.31034482758620691"/>
    <x v="3"/>
    <s v="20250311-Hospital 5"/>
    <n v="29"/>
  </r>
  <r>
    <x v="10"/>
    <x v="4"/>
    <x v="2"/>
    <n v="9"/>
    <n v="0.31034482758620691"/>
    <x v="3"/>
    <s v="20250311-Hospital 5"/>
    <n v="0"/>
  </r>
  <r>
    <x v="10"/>
    <x v="4"/>
    <x v="2"/>
    <n v="9"/>
    <n v="0.31034482758620691"/>
    <x v="3"/>
    <s v="20250311-Hospital 5"/>
    <n v="0"/>
  </r>
  <r>
    <x v="10"/>
    <x v="4"/>
    <x v="2"/>
    <n v="9"/>
    <n v="0.31034482758620691"/>
    <x v="5"/>
    <s v="20250311-Hospital 5"/>
    <n v="0"/>
  </r>
  <r>
    <x v="10"/>
    <x v="4"/>
    <x v="2"/>
    <n v="9"/>
    <n v="0.31034482758620691"/>
    <x v="0"/>
    <s v="20250311-Hospital 5"/>
    <n v="0"/>
  </r>
  <r>
    <x v="10"/>
    <x v="4"/>
    <x v="2"/>
    <n v="9"/>
    <n v="0.31034482758620691"/>
    <x v="0"/>
    <s v="20250311-Hospital 5"/>
    <n v="0"/>
  </r>
  <r>
    <x v="10"/>
    <x v="4"/>
    <x v="2"/>
    <n v="9"/>
    <n v="0.31034482758620691"/>
    <x v="2"/>
    <s v="20250311-Hospital 5"/>
    <n v="0"/>
  </r>
  <r>
    <x v="10"/>
    <x v="4"/>
    <x v="2"/>
    <n v="9"/>
    <n v="0.31034482758620691"/>
    <x v="2"/>
    <s v="20250311-Hospital 5"/>
    <n v="0"/>
  </r>
  <r>
    <x v="10"/>
    <x v="4"/>
    <x v="2"/>
    <n v="9"/>
    <n v="0.31034482758620691"/>
    <x v="2"/>
    <s v="20250311-Hospital 5"/>
    <n v="0"/>
  </r>
  <r>
    <x v="11"/>
    <x v="5"/>
    <x v="8"/>
    <n v="3"/>
    <n v="0.21428571428571427"/>
    <x v="3"/>
    <s v="20250317-Hospital 6"/>
    <n v="14"/>
  </r>
  <r>
    <x v="11"/>
    <x v="5"/>
    <x v="8"/>
    <n v="3"/>
    <n v="0.21428571428571427"/>
    <x v="3"/>
    <s v="20250317-Hospital 6"/>
    <n v="0"/>
  </r>
  <r>
    <x v="11"/>
    <x v="5"/>
    <x v="8"/>
    <n v="3"/>
    <n v="0.21428571428571427"/>
    <x v="7"/>
    <s v="20250317-Hospital 6"/>
    <n v="0"/>
  </r>
  <r>
    <x v="12"/>
    <x v="6"/>
    <x v="9"/>
    <n v="18"/>
    <n v="0.52941176470588236"/>
    <x v="2"/>
    <s v="20250403-Hospital 7"/>
    <n v="34"/>
  </r>
  <r>
    <x v="12"/>
    <x v="6"/>
    <x v="9"/>
    <n v="18"/>
    <n v="0.52941176470588236"/>
    <x v="2"/>
    <s v="20250403-Hospital 7"/>
    <n v="0"/>
  </r>
  <r>
    <x v="12"/>
    <x v="6"/>
    <x v="9"/>
    <n v="18"/>
    <n v="0.52941176470588236"/>
    <x v="2"/>
    <s v="20250403-Hospital 7"/>
    <n v="0"/>
  </r>
  <r>
    <x v="12"/>
    <x v="6"/>
    <x v="9"/>
    <n v="18"/>
    <n v="0.52941176470588236"/>
    <x v="2"/>
    <s v="20250403-Hospital 7"/>
    <n v="0"/>
  </r>
  <r>
    <x v="12"/>
    <x v="6"/>
    <x v="9"/>
    <n v="18"/>
    <n v="0.52941176470588236"/>
    <x v="2"/>
    <s v="20250403-Hospital 7"/>
    <n v="0"/>
  </r>
  <r>
    <x v="12"/>
    <x v="6"/>
    <x v="9"/>
    <n v="18"/>
    <n v="0.52941176470588236"/>
    <x v="2"/>
    <s v="20250403-Hospital 7"/>
    <n v="0"/>
  </r>
  <r>
    <x v="12"/>
    <x v="6"/>
    <x v="9"/>
    <n v="18"/>
    <n v="0.52941176470588236"/>
    <x v="1"/>
    <s v="20250403-Hospital 7"/>
    <n v="0"/>
  </r>
  <r>
    <x v="12"/>
    <x v="6"/>
    <x v="9"/>
    <n v="18"/>
    <n v="0.52941176470588236"/>
    <x v="0"/>
    <s v="20250403-Hospital 7"/>
    <n v="0"/>
  </r>
  <r>
    <x v="12"/>
    <x v="6"/>
    <x v="9"/>
    <n v="18"/>
    <n v="0.52941176470588236"/>
    <x v="5"/>
    <s v="20250403-Hospital 7"/>
    <n v="0"/>
  </r>
  <r>
    <x v="12"/>
    <x v="6"/>
    <x v="9"/>
    <n v="18"/>
    <n v="0.52941176470588236"/>
    <x v="5"/>
    <s v="20250403-Hospital 7"/>
    <n v="0"/>
  </r>
  <r>
    <x v="12"/>
    <x v="6"/>
    <x v="9"/>
    <n v="18"/>
    <n v="0.52941176470588236"/>
    <x v="3"/>
    <s v="20250403-Hospital 7"/>
    <n v="0"/>
  </r>
  <r>
    <x v="12"/>
    <x v="6"/>
    <x v="9"/>
    <n v="18"/>
    <n v="0.52941176470588236"/>
    <x v="3"/>
    <s v="20250403-Hospital 7"/>
    <n v="0"/>
  </r>
  <r>
    <x v="12"/>
    <x v="6"/>
    <x v="9"/>
    <n v="18"/>
    <n v="0.52941176470588236"/>
    <x v="3"/>
    <s v="20250403-Hospital 7"/>
    <n v="0"/>
  </r>
  <r>
    <x v="12"/>
    <x v="6"/>
    <x v="9"/>
    <n v="18"/>
    <n v="0.52941176470588236"/>
    <x v="3"/>
    <s v="20250403-Hospital 7"/>
    <n v="0"/>
  </r>
  <r>
    <x v="12"/>
    <x v="6"/>
    <x v="9"/>
    <n v="18"/>
    <n v="0.52941176470588236"/>
    <x v="3"/>
    <s v="20250403-Hospital 7"/>
    <n v="0"/>
  </r>
  <r>
    <x v="12"/>
    <x v="6"/>
    <x v="9"/>
    <n v="18"/>
    <n v="0.52941176470588236"/>
    <x v="4"/>
    <s v="20250403-Hospital 7"/>
    <n v="0"/>
  </r>
  <r>
    <x v="12"/>
    <x v="6"/>
    <x v="9"/>
    <n v="18"/>
    <n v="0.52941176470588236"/>
    <x v="6"/>
    <s v="20250403-Hospital 7"/>
    <n v="0"/>
  </r>
  <r>
    <x v="12"/>
    <x v="6"/>
    <x v="9"/>
    <n v="18"/>
    <n v="0.52941176470588236"/>
    <x v="1"/>
    <s v="20250403-Hospital 7"/>
    <n v="0"/>
  </r>
  <r>
    <x v="13"/>
    <x v="7"/>
    <x v="10"/>
    <n v="3"/>
    <n v="0.25"/>
    <x v="3"/>
    <s v="20250408-Hospital 8"/>
    <n v="12"/>
  </r>
  <r>
    <x v="13"/>
    <x v="7"/>
    <x v="10"/>
    <n v="3"/>
    <n v="0.25"/>
    <x v="3"/>
    <s v="20250408-Hospital 8"/>
    <n v="0"/>
  </r>
  <r>
    <x v="13"/>
    <x v="7"/>
    <x v="10"/>
    <n v="3"/>
    <n v="0.25"/>
    <x v="2"/>
    <s v="20250408-Hospital 8"/>
    <n v="0"/>
  </r>
  <r>
    <x v="14"/>
    <x v="2"/>
    <x v="6"/>
    <n v="10"/>
    <n v="0.4"/>
    <x v="1"/>
    <s v="20250414-Hospital 3"/>
    <n v="25"/>
  </r>
  <r>
    <x v="14"/>
    <x v="2"/>
    <x v="6"/>
    <n v="10"/>
    <n v="0.4"/>
    <x v="5"/>
    <s v="20250414-Hospital 3"/>
    <n v="0"/>
  </r>
  <r>
    <x v="14"/>
    <x v="2"/>
    <x v="6"/>
    <n v="10"/>
    <n v="0.4"/>
    <x v="4"/>
    <s v="20250414-Hospital 3"/>
    <n v="0"/>
  </r>
  <r>
    <x v="14"/>
    <x v="2"/>
    <x v="6"/>
    <n v="10"/>
    <n v="0.4"/>
    <x v="0"/>
    <s v="20250414-Hospital 3"/>
    <n v="0"/>
  </r>
  <r>
    <x v="14"/>
    <x v="2"/>
    <x v="6"/>
    <n v="10"/>
    <n v="0.4"/>
    <x v="3"/>
    <s v="20250414-Hospital 3"/>
    <n v="0"/>
  </r>
  <r>
    <x v="14"/>
    <x v="2"/>
    <x v="6"/>
    <n v="10"/>
    <n v="0.4"/>
    <x v="3"/>
    <s v="20250414-Hospital 3"/>
    <n v="0"/>
  </r>
  <r>
    <x v="14"/>
    <x v="2"/>
    <x v="6"/>
    <n v="10"/>
    <n v="0.4"/>
    <x v="3"/>
    <s v="20250414-Hospital 3"/>
    <n v="0"/>
  </r>
  <r>
    <x v="14"/>
    <x v="2"/>
    <x v="6"/>
    <n v="10"/>
    <n v="0.4"/>
    <x v="3"/>
    <s v="20250414-Hospital 3"/>
    <n v="0"/>
  </r>
  <r>
    <x v="14"/>
    <x v="2"/>
    <x v="6"/>
    <n v="10"/>
    <n v="0.4"/>
    <x v="2"/>
    <s v="20250414-Hospital 3"/>
    <n v="0"/>
  </r>
  <r>
    <x v="14"/>
    <x v="2"/>
    <x v="6"/>
    <n v="10"/>
    <n v="0.4"/>
    <x v="2"/>
    <s v="20250414-Hospital 3"/>
    <n v="0"/>
  </r>
  <r>
    <x v="15"/>
    <x v="8"/>
    <x v="11"/>
    <n v="1"/>
    <n v="7.6923076923076927E-2"/>
    <x v="4"/>
    <s v="20250428-Hospital 9"/>
    <n v="13"/>
  </r>
  <r>
    <x v="16"/>
    <x v="7"/>
    <x v="8"/>
    <n v="2"/>
    <n v="0.14285714285714285"/>
    <x v="3"/>
    <s v="20250513-Hospital 8"/>
    <n v="14"/>
  </r>
  <r>
    <x v="16"/>
    <x v="7"/>
    <x v="8"/>
    <n v="2"/>
    <n v="0.14285714285714285"/>
    <x v="3"/>
    <s v="20250513-Hospital 8"/>
    <n v="0"/>
  </r>
  <r>
    <x v="17"/>
    <x v="4"/>
    <x v="12"/>
    <n v="14"/>
    <n v="0.51851851851851849"/>
    <x v="5"/>
    <s v="20250519-Hospital 5"/>
    <n v="27"/>
  </r>
  <r>
    <x v="17"/>
    <x v="4"/>
    <x v="12"/>
    <n v="14"/>
    <n v="0.51851851851851849"/>
    <x v="5"/>
    <s v="20250519-Hospital 5"/>
    <n v="0"/>
  </r>
  <r>
    <x v="17"/>
    <x v="4"/>
    <x v="12"/>
    <n v="14"/>
    <n v="0.51851851851851849"/>
    <x v="4"/>
    <s v="20250519-Hospital 5"/>
    <n v="0"/>
  </r>
  <r>
    <x v="17"/>
    <x v="4"/>
    <x v="12"/>
    <n v="14"/>
    <n v="0.51851851851851849"/>
    <x v="3"/>
    <s v="20250519-Hospital 5"/>
    <n v="0"/>
  </r>
  <r>
    <x v="17"/>
    <x v="4"/>
    <x v="12"/>
    <n v="14"/>
    <n v="0.51851851851851849"/>
    <x v="3"/>
    <s v="20250519-Hospital 5"/>
    <n v="0"/>
  </r>
  <r>
    <x v="17"/>
    <x v="4"/>
    <x v="12"/>
    <n v="14"/>
    <n v="0.51851851851851849"/>
    <x v="3"/>
    <s v="20250519-Hospital 5"/>
    <n v="0"/>
  </r>
  <r>
    <x v="17"/>
    <x v="4"/>
    <x v="12"/>
    <n v="14"/>
    <n v="0.51851851851851849"/>
    <x v="3"/>
    <s v="20250519-Hospital 5"/>
    <n v="0"/>
  </r>
  <r>
    <x v="17"/>
    <x v="4"/>
    <x v="12"/>
    <n v="14"/>
    <n v="0.51851851851851849"/>
    <x v="3"/>
    <s v="20250519-Hospital 5"/>
    <n v="0"/>
  </r>
  <r>
    <x v="17"/>
    <x v="4"/>
    <x v="12"/>
    <n v="14"/>
    <n v="0.51851851851851849"/>
    <x v="2"/>
    <s v="20250519-Hospital 5"/>
    <n v="0"/>
  </r>
  <r>
    <x v="17"/>
    <x v="4"/>
    <x v="12"/>
    <n v="14"/>
    <n v="0.51851851851851849"/>
    <x v="2"/>
    <s v="20250519-Hospital 5"/>
    <n v="0"/>
  </r>
  <r>
    <x v="17"/>
    <x v="4"/>
    <x v="12"/>
    <n v="14"/>
    <n v="0.51851851851851849"/>
    <x v="2"/>
    <s v="20250519-Hospital 5"/>
    <n v="0"/>
  </r>
  <r>
    <x v="17"/>
    <x v="4"/>
    <x v="12"/>
    <n v="14"/>
    <n v="0.51851851851851849"/>
    <x v="2"/>
    <s v="20250519-Hospital 5"/>
    <n v="0"/>
  </r>
  <r>
    <x v="17"/>
    <x v="4"/>
    <x v="12"/>
    <n v="14"/>
    <n v="0.51851851851851849"/>
    <x v="0"/>
    <s v="20250519-Hospital 5"/>
    <n v="0"/>
  </r>
  <r>
    <x v="17"/>
    <x v="4"/>
    <x v="12"/>
    <n v="14"/>
    <n v="0.51851851851851849"/>
    <x v="7"/>
    <s v="20250519-Hospital 5"/>
    <n v="0"/>
  </r>
  <r>
    <x v="18"/>
    <x v="8"/>
    <x v="13"/>
    <n v="6"/>
    <n v="0.35294117647058826"/>
    <x v="3"/>
    <s v="20250527-Hospital 9"/>
    <n v="17"/>
  </r>
  <r>
    <x v="18"/>
    <x v="8"/>
    <x v="13"/>
    <n v="6"/>
    <n v="0.35294117647058826"/>
    <x v="3"/>
    <s v="20250527-Hospital 9"/>
    <n v="0"/>
  </r>
  <r>
    <x v="18"/>
    <x v="8"/>
    <x v="13"/>
    <n v="6"/>
    <n v="0.35294117647058826"/>
    <x v="3"/>
    <s v="20250527-Hospital 9"/>
    <n v="0"/>
  </r>
  <r>
    <x v="18"/>
    <x v="8"/>
    <x v="13"/>
    <n v="6"/>
    <n v="0.35294117647058826"/>
    <x v="2"/>
    <s v="20250527-Hospital 9"/>
    <n v="0"/>
  </r>
  <r>
    <x v="18"/>
    <x v="8"/>
    <x v="13"/>
    <n v="6"/>
    <n v="0.35294117647058826"/>
    <x v="2"/>
    <s v="20250527-Hospital 9"/>
    <n v="0"/>
  </r>
  <r>
    <x v="18"/>
    <x v="8"/>
    <x v="13"/>
    <n v="6"/>
    <n v="0.35294117647058826"/>
    <x v="9"/>
    <s v="20250527-Hospital 9"/>
    <n v="0"/>
  </r>
  <r>
    <x v="19"/>
    <x v="0"/>
    <x v="14"/>
    <n v="12"/>
    <n v="0.36363636363636365"/>
    <x v="3"/>
    <s v="20250529-Hospital 1"/>
    <n v="33"/>
  </r>
  <r>
    <x v="19"/>
    <x v="0"/>
    <x v="14"/>
    <n v="12"/>
    <n v="0.36363636363636365"/>
    <x v="3"/>
    <s v="20250529-Hospital 1"/>
    <n v="0"/>
  </r>
  <r>
    <x v="19"/>
    <x v="0"/>
    <x v="14"/>
    <n v="12"/>
    <n v="0.36363636363636365"/>
    <x v="3"/>
    <s v="20250529-Hospital 1"/>
    <n v="0"/>
  </r>
  <r>
    <x v="19"/>
    <x v="0"/>
    <x v="14"/>
    <n v="12"/>
    <n v="0.36363636363636365"/>
    <x v="3"/>
    <s v="20250529-Hospital 1"/>
    <n v="0"/>
  </r>
  <r>
    <x v="19"/>
    <x v="0"/>
    <x v="14"/>
    <n v="12"/>
    <n v="0.36363636363636365"/>
    <x v="3"/>
    <s v="20250529-Hospital 1"/>
    <n v="0"/>
  </r>
  <r>
    <x v="19"/>
    <x v="0"/>
    <x v="14"/>
    <n v="12"/>
    <n v="0.36363636363636365"/>
    <x v="2"/>
    <s v="20250529-Hospital 1"/>
    <n v="0"/>
  </r>
  <r>
    <x v="19"/>
    <x v="0"/>
    <x v="14"/>
    <n v="12"/>
    <n v="0.36363636363636365"/>
    <x v="2"/>
    <s v="20250529-Hospital 1"/>
    <n v="0"/>
  </r>
  <r>
    <x v="19"/>
    <x v="0"/>
    <x v="14"/>
    <n v="12"/>
    <n v="0.36363636363636365"/>
    <x v="2"/>
    <s v="20250529-Hospital 1"/>
    <n v="0"/>
  </r>
  <r>
    <x v="19"/>
    <x v="0"/>
    <x v="14"/>
    <n v="12"/>
    <n v="0.36363636363636365"/>
    <x v="2"/>
    <s v="20250529-Hospital 1"/>
    <n v="0"/>
  </r>
  <r>
    <x v="19"/>
    <x v="0"/>
    <x v="14"/>
    <n v="12"/>
    <n v="0.36363636363636365"/>
    <x v="7"/>
    <s v="20250529-Hospital 1"/>
    <n v="0"/>
  </r>
  <r>
    <x v="19"/>
    <x v="0"/>
    <x v="14"/>
    <n v="12"/>
    <n v="0.36363636363636365"/>
    <x v="4"/>
    <s v="20250529-Hospital 1"/>
    <n v="0"/>
  </r>
  <r>
    <x v="19"/>
    <x v="0"/>
    <x v="14"/>
    <n v="12"/>
    <n v="0.36363636363636365"/>
    <x v="5"/>
    <s v="20250529-Hospital 1"/>
    <n v="0"/>
  </r>
  <r>
    <x v="20"/>
    <x v="1"/>
    <x v="15"/>
    <n v="6"/>
    <n v="0.3"/>
    <x v="0"/>
    <s v="20250602-Hospital 2"/>
    <n v="20"/>
  </r>
  <r>
    <x v="20"/>
    <x v="1"/>
    <x v="15"/>
    <n v="6"/>
    <n v="0.3"/>
    <x v="3"/>
    <s v="20250602-Hospital 2"/>
    <n v="0"/>
  </r>
  <r>
    <x v="20"/>
    <x v="1"/>
    <x v="15"/>
    <n v="6"/>
    <n v="0.3"/>
    <x v="3"/>
    <s v="20250602-Hospital 2"/>
    <n v="0"/>
  </r>
  <r>
    <x v="20"/>
    <x v="1"/>
    <x v="15"/>
    <n v="6"/>
    <n v="0.3"/>
    <x v="2"/>
    <s v="20250602-Hospital 2"/>
    <n v="0"/>
  </r>
  <r>
    <x v="20"/>
    <x v="1"/>
    <x v="15"/>
    <n v="6"/>
    <n v="0.3"/>
    <x v="2"/>
    <s v="20250602-Hospital 2"/>
    <n v="0"/>
  </r>
  <r>
    <x v="20"/>
    <x v="1"/>
    <x v="15"/>
    <n v="6"/>
    <n v="0.3"/>
    <x v="1"/>
    <s v="20250602-Hospital 2"/>
    <n v="0"/>
  </r>
  <r>
    <x v="21"/>
    <x v="3"/>
    <x v="8"/>
    <n v="2"/>
    <n v="0.14285714285714285"/>
    <x v="4"/>
    <s v="20250605-Hospital 4"/>
    <n v="14"/>
  </r>
  <r>
    <x v="21"/>
    <x v="3"/>
    <x v="8"/>
    <n v="2"/>
    <n v="0.14285714285714285"/>
    <x v="8"/>
    <s v="20250605-Hospital 4"/>
    <n v="0"/>
  </r>
  <r>
    <x v="22"/>
    <x v="6"/>
    <x v="16"/>
    <n v="15"/>
    <n v="0.41666666666666669"/>
    <x v="3"/>
    <s v="20250610-Hospital 7"/>
    <n v="36"/>
  </r>
  <r>
    <x v="22"/>
    <x v="6"/>
    <x v="16"/>
    <n v="15"/>
    <n v="0.41666666666666669"/>
    <x v="3"/>
    <s v="20250610-Hospital 7"/>
    <n v="0"/>
  </r>
  <r>
    <x v="22"/>
    <x v="6"/>
    <x v="16"/>
    <n v="15"/>
    <n v="0.41666666666666669"/>
    <x v="3"/>
    <s v="20250610-Hospital 7"/>
    <n v="0"/>
  </r>
  <r>
    <x v="22"/>
    <x v="6"/>
    <x v="16"/>
    <n v="15"/>
    <n v="0.41666666666666669"/>
    <x v="3"/>
    <s v="20250610-Hospital 7"/>
    <n v="0"/>
  </r>
  <r>
    <x v="22"/>
    <x v="6"/>
    <x v="16"/>
    <n v="15"/>
    <n v="0.41666666666666669"/>
    <x v="3"/>
    <s v="20250610-Hospital 7"/>
    <n v="0"/>
  </r>
  <r>
    <x v="22"/>
    <x v="6"/>
    <x v="16"/>
    <n v="15"/>
    <n v="0.41666666666666669"/>
    <x v="3"/>
    <s v="20250610-Hospital 7"/>
    <n v="0"/>
  </r>
  <r>
    <x v="22"/>
    <x v="6"/>
    <x v="16"/>
    <n v="15"/>
    <n v="0.41666666666666669"/>
    <x v="3"/>
    <s v="20250610-Hospital 7"/>
    <n v="0"/>
  </r>
  <r>
    <x v="22"/>
    <x v="6"/>
    <x v="16"/>
    <n v="15"/>
    <n v="0.41666666666666669"/>
    <x v="7"/>
    <s v="20250610-Hospital 7"/>
    <n v="0"/>
  </r>
  <r>
    <x v="22"/>
    <x v="6"/>
    <x v="16"/>
    <n v="15"/>
    <n v="0.41666666666666669"/>
    <x v="4"/>
    <s v="20250610-Hospital 7"/>
    <n v="0"/>
  </r>
  <r>
    <x v="22"/>
    <x v="6"/>
    <x v="16"/>
    <n v="15"/>
    <n v="0.41666666666666669"/>
    <x v="5"/>
    <s v="20250610-Hospital 7"/>
    <n v="0"/>
  </r>
  <r>
    <x v="22"/>
    <x v="6"/>
    <x v="16"/>
    <n v="15"/>
    <n v="0.41666666666666669"/>
    <x v="0"/>
    <s v="20250610-Hospital 7"/>
    <n v="0"/>
  </r>
  <r>
    <x v="22"/>
    <x v="6"/>
    <x v="16"/>
    <n v="15"/>
    <n v="0.41666666666666669"/>
    <x v="2"/>
    <s v="20250610-Hospital 7"/>
    <n v="0"/>
  </r>
  <r>
    <x v="22"/>
    <x v="6"/>
    <x v="16"/>
    <n v="15"/>
    <n v="0.41666666666666669"/>
    <x v="2"/>
    <s v="20250610-Hospital 7"/>
    <n v="0"/>
  </r>
  <r>
    <x v="22"/>
    <x v="6"/>
    <x v="16"/>
    <n v="15"/>
    <n v="0.41666666666666669"/>
    <x v="2"/>
    <s v="20250610-Hospital 7"/>
    <n v="0"/>
  </r>
  <r>
    <x v="22"/>
    <x v="6"/>
    <x v="16"/>
    <n v="15"/>
    <n v="0.41666666666666669"/>
    <x v="2"/>
    <s v="20250610-Hospital 7"/>
    <n v="0"/>
  </r>
  <r>
    <x v="23"/>
    <x v="7"/>
    <x v="17"/>
    <n v="2"/>
    <n v="0.18181818181818182"/>
    <x v="0"/>
    <s v="20250616-Hospital 8"/>
    <n v="11"/>
  </r>
  <r>
    <x v="23"/>
    <x v="7"/>
    <x v="17"/>
    <n v="2"/>
    <n v="0.18181818181818182"/>
    <x v="0"/>
    <s v="20250616-Hospital 8"/>
    <n v="0"/>
  </r>
  <r>
    <x v="24"/>
    <x v="5"/>
    <x v="13"/>
    <n v="4"/>
    <n v="0.23529411764705882"/>
    <x v="3"/>
    <s v="20250617-Hospital 6"/>
    <n v="17"/>
  </r>
  <r>
    <x v="24"/>
    <x v="5"/>
    <x v="13"/>
    <n v="4"/>
    <n v="0.23529411764705882"/>
    <x v="3"/>
    <s v="20250617-Hospital 6"/>
    <n v="0"/>
  </r>
  <r>
    <x v="24"/>
    <x v="5"/>
    <x v="13"/>
    <n v="4"/>
    <n v="0.23529411764705882"/>
    <x v="2"/>
    <s v="20250617-Hospital 6"/>
    <n v="0"/>
  </r>
  <r>
    <x v="24"/>
    <x v="5"/>
    <x v="13"/>
    <n v="4"/>
    <n v="0.23529411764705882"/>
    <x v="2"/>
    <s v="20250617-Hospital 6"/>
    <n v="0"/>
  </r>
  <r>
    <x v="25"/>
    <x v="2"/>
    <x v="4"/>
    <n v="8"/>
    <n v="0.44444444444444442"/>
    <x v="3"/>
    <s v="20250627-Hospital 3"/>
    <n v="18"/>
  </r>
  <r>
    <x v="25"/>
    <x v="2"/>
    <x v="4"/>
    <n v="8"/>
    <n v="0.44444444444444442"/>
    <x v="3"/>
    <s v="20250627-Hospital 3"/>
    <n v="0"/>
  </r>
  <r>
    <x v="25"/>
    <x v="2"/>
    <x v="4"/>
    <n v="8"/>
    <n v="0.44444444444444442"/>
    <x v="3"/>
    <s v="20250627-Hospital 3"/>
    <n v="0"/>
  </r>
  <r>
    <x v="25"/>
    <x v="2"/>
    <x v="4"/>
    <n v="8"/>
    <n v="0.44444444444444442"/>
    <x v="5"/>
    <s v="20250627-Hospital 3"/>
    <n v="0"/>
  </r>
  <r>
    <x v="25"/>
    <x v="2"/>
    <x v="4"/>
    <n v="8"/>
    <n v="0.44444444444444442"/>
    <x v="6"/>
    <s v="20250627-Hospital 3"/>
    <n v="0"/>
  </r>
  <r>
    <x v="25"/>
    <x v="2"/>
    <x v="4"/>
    <n v="8"/>
    <n v="0.44444444444444442"/>
    <x v="4"/>
    <s v="20250627-Hospital 3"/>
    <n v="0"/>
  </r>
  <r>
    <x v="25"/>
    <x v="2"/>
    <x v="4"/>
    <n v="8"/>
    <n v="0.44444444444444442"/>
    <x v="2"/>
    <s v="20250627-Hospital 3"/>
    <n v="0"/>
  </r>
  <r>
    <x v="25"/>
    <x v="2"/>
    <x v="4"/>
    <n v="8"/>
    <n v="0.44444444444444442"/>
    <x v="2"/>
    <s v="20250627-Hospital 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61DB5-2EDF-4C05-B493-7CBE58DD3166}" name="ReferralsByType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10">
    <pivotField numFmtId="14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dataField="1" showAll="0"/>
    <pivotField numFmtId="10" showAll="0"/>
    <pivotField axis="axisRow" showAll="0">
      <items count="11">
        <item x="4"/>
        <item x="3"/>
        <item x="8"/>
        <item x="2"/>
        <item x="0"/>
        <item x="1"/>
        <item x="9"/>
        <item x="6"/>
        <item x="7"/>
        <item x="5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ferrals " fld="3" subtotal="count" baseField="5" baseItem="6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7BD1E-07D7-4F02-B6A2-485309B84473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10">
    <pivotField numFmtId="14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numFmtId="10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atientsEngaged" fld="2" subtotal="average" baseField="1" baseItem="2" numFmtId="167"/>
  </dataFields>
  <formats count="2">
    <format dxfId="2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F3A98-EBB7-47BC-A009-F0785CDC08D5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10">
    <pivotField numFmtId="14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numFmtId="10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ReferralRate" fld="4" subtotal="average" baseField="1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A040F-09DB-4BA8-B61C-891AF08F01DF}" name="Table1" displayName="Table1" ref="A1:H202" totalsRowShown="0">
  <autoFilter ref="A1:H202" xr:uid="{CD1A040F-09DB-4BA8-B61C-891AF08F01DF}"/>
  <tableColumns count="8">
    <tableColumn id="1" xr3:uid="{2518F07C-07B9-496F-A5BA-9A08586B2376}" name="Date" dataDxfId="5"/>
    <tableColumn id="2" xr3:uid="{1F1A6EEC-F4DF-48A0-9831-D29989BA6124}" name="Hospital" dataDxfId="4"/>
    <tableColumn id="3" xr3:uid="{86E2E04B-F8EA-44F1-998B-7D3969C74FD7}" name="PatientsEngaged"/>
    <tableColumn id="4" xr3:uid="{C93F9368-709B-4F9D-ABB4-5271F6026115}" name="Referrals "/>
    <tableColumn id="5" xr3:uid="{3FA6E1B1-B837-4968-A2E8-D81A85F98B15}" name="ReferralRate" dataDxfId="3" dataCellStyle="Percent">
      <calculatedColumnFormula>IF(C2=0, 0, D2/C2)</calculatedColumnFormula>
    </tableColumn>
    <tableColumn id="6" xr3:uid="{0AA3FC78-C223-4BBE-BD99-DB470A573490}" name="ReferralType"/>
    <tableColumn id="7" xr3:uid="{0D9D1B29-B9E2-4989-A4D3-B209FF95883C}" name="VisitID">
      <calculatedColumnFormula>TEXT(A2,"yyyymmdd") &amp; "-" &amp; B2</calculatedColumnFormula>
    </tableColumn>
    <tableColumn id="8" xr3:uid="{1E1E49B3-393C-44C1-95AE-57E3E2EFDEA6}" name="DeduplicatedPatientsEngaged">
      <calculatedColumnFormula>IF(COUNTIF($G$2:G2,G2)=1,C2,0)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8AE1-692F-4F4E-8067-330092469D89}">
  <dimension ref="A3:B14"/>
  <sheetViews>
    <sheetView tabSelected="1" workbookViewId="0">
      <selection activeCell="A30" sqref="A30"/>
    </sheetView>
  </sheetViews>
  <sheetFormatPr defaultRowHeight="14.4" x14ac:dyDescent="0.3"/>
  <cols>
    <col min="1" max="1" width="18.6640625" bestFit="1" customWidth="1"/>
    <col min="2" max="2" width="16" bestFit="1" customWidth="1"/>
  </cols>
  <sheetData>
    <row r="3" spans="1:2" x14ac:dyDescent="0.3">
      <c r="A3" s="3" t="s">
        <v>27</v>
      </c>
      <c r="B3" t="s">
        <v>29</v>
      </c>
    </row>
    <row r="4" spans="1:2" x14ac:dyDescent="0.3">
      <c r="A4" s="4" t="s">
        <v>20</v>
      </c>
      <c r="B4" s="5">
        <v>12</v>
      </c>
    </row>
    <row r="5" spans="1:2" x14ac:dyDescent="0.3">
      <c r="A5" s="4" t="s">
        <v>18</v>
      </c>
      <c r="B5" s="5">
        <v>78</v>
      </c>
    </row>
    <row r="6" spans="1:2" x14ac:dyDescent="0.3">
      <c r="A6" s="4" t="s">
        <v>25</v>
      </c>
      <c r="B6" s="5">
        <v>3</v>
      </c>
    </row>
    <row r="7" spans="1:2" x14ac:dyDescent="0.3">
      <c r="A7" s="4" t="s">
        <v>17</v>
      </c>
      <c r="B7" s="5">
        <v>54</v>
      </c>
    </row>
    <row r="8" spans="1:2" x14ac:dyDescent="0.3">
      <c r="A8" s="4" t="s">
        <v>21</v>
      </c>
      <c r="B8" s="5">
        <v>15</v>
      </c>
    </row>
    <row r="9" spans="1:2" x14ac:dyDescent="0.3">
      <c r="A9" s="4" t="s">
        <v>19</v>
      </c>
      <c r="B9" s="5">
        <v>8</v>
      </c>
    </row>
    <row r="10" spans="1:2" x14ac:dyDescent="0.3">
      <c r="A10" s="4" t="s">
        <v>26</v>
      </c>
      <c r="B10" s="5">
        <v>2</v>
      </c>
    </row>
    <row r="11" spans="1:2" x14ac:dyDescent="0.3">
      <c r="A11" s="4" t="s">
        <v>24</v>
      </c>
      <c r="B11" s="5">
        <v>5</v>
      </c>
    </row>
    <row r="12" spans="1:2" x14ac:dyDescent="0.3">
      <c r="A12" s="4" t="s">
        <v>23</v>
      </c>
      <c r="B12" s="5">
        <v>7</v>
      </c>
    </row>
    <row r="13" spans="1:2" x14ac:dyDescent="0.3">
      <c r="A13" s="4" t="s">
        <v>22</v>
      </c>
      <c r="B13" s="5">
        <v>17</v>
      </c>
    </row>
    <row r="14" spans="1:2" x14ac:dyDescent="0.3">
      <c r="A14" s="4" t="s">
        <v>28</v>
      </c>
      <c r="B14" s="5">
        <v>201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376A-9138-4890-9967-7D85CD0774AE}">
  <dimension ref="A11"/>
  <sheetViews>
    <sheetView workbookViewId="0">
      <selection activeCell="A12" sqref="A12"/>
    </sheetView>
  </sheetViews>
  <sheetFormatPr defaultRowHeight="14.4" x14ac:dyDescent="0.3"/>
  <sheetData>
    <row r="11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7350-399A-490B-9426-4EA064A0CC57}">
  <dimension ref="A1"/>
  <sheetViews>
    <sheetView workbookViewId="0">
      <selection activeCell="R17" sqref="R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2334-085B-482F-9880-B3F66FB420D3}">
  <dimension ref="A3:B13"/>
  <sheetViews>
    <sheetView workbookViewId="0">
      <selection activeCell="B19" sqref="B19"/>
    </sheetView>
  </sheetViews>
  <sheetFormatPr defaultRowHeight="14.4" x14ac:dyDescent="0.3"/>
  <cols>
    <col min="1" max="1" width="12.44140625" bestFit="1" customWidth="1"/>
    <col min="2" max="2" width="23.88671875" bestFit="1" customWidth="1"/>
  </cols>
  <sheetData>
    <row r="3" spans="1:2" x14ac:dyDescent="0.3">
      <c r="A3" s="3" t="s">
        <v>27</v>
      </c>
      <c r="B3" t="s">
        <v>30</v>
      </c>
    </row>
    <row r="4" spans="1:2" x14ac:dyDescent="0.3">
      <c r="A4" s="4" t="s">
        <v>8</v>
      </c>
      <c r="B4" s="7">
        <v>32.529411764705884</v>
      </c>
    </row>
    <row r="5" spans="1:2" x14ac:dyDescent="0.3">
      <c r="A5" s="4" t="s">
        <v>9</v>
      </c>
      <c r="B5" s="7">
        <v>22.555555555555557</v>
      </c>
    </row>
    <row r="6" spans="1:2" x14ac:dyDescent="0.3">
      <c r="A6" s="4" t="s">
        <v>10</v>
      </c>
      <c r="B6" s="7">
        <v>24.794871794871796</v>
      </c>
    </row>
    <row r="7" spans="1:2" x14ac:dyDescent="0.3">
      <c r="A7" s="4" t="s">
        <v>11</v>
      </c>
      <c r="B7" s="7">
        <v>17.649999999999999</v>
      </c>
    </row>
    <row r="8" spans="1:2" x14ac:dyDescent="0.3">
      <c r="A8" s="4" t="s">
        <v>12</v>
      </c>
      <c r="B8" s="7">
        <v>28.583333333333332</v>
      </c>
    </row>
    <row r="9" spans="1:2" x14ac:dyDescent="0.3">
      <c r="A9" s="4" t="s">
        <v>13</v>
      </c>
      <c r="B9" s="7">
        <v>15.714285714285714</v>
      </c>
    </row>
    <row r="10" spans="1:2" x14ac:dyDescent="0.3">
      <c r="A10" s="4" t="s">
        <v>14</v>
      </c>
      <c r="B10" s="7">
        <v>34.909090909090907</v>
      </c>
    </row>
    <row r="11" spans="1:2" x14ac:dyDescent="0.3">
      <c r="A11" s="4" t="s">
        <v>15</v>
      </c>
      <c r="B11" s="7">
        <v>12.285714285714286</v>
      </c>
    </row>
    <row r="12" spans="1:2" x14ac:dyDescent="0.3">
      <c r="A12" s="4" t="s">
        <v>16</v>
      </c>
      <c r="B12" s="7">
        <v>16.428571428571427</v>
      </c>
    </row>
    <row r="13" spans="1:2" x14ac:dyDescent="0.3">
      <c r="A13" s="4" t="s">
        <v>28</v>
      </c>
      <c r="B13" s="7">
        <v>26.487562189054728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B375-E002-4329-B66D-8C0810B92C6C}">
  <dimension ref="A3:B13"/>
  <sheetViews>
    <sheetView workbookViewId="0">
      <selection activeCell="L30" sqref="L30"/>
    </sheetView>
  </sheetViews>
  <sheetFormatPr defaultRowHeight="14.4" x14ac:dyDescent="0.3"/>
  <cols>
    <col min="1" max="1" width="12.44140625" bestFit="1" customWidth="1"/>
    <col min="2" max="2" width="20.33203125" bestFit="1" customWidth="1"/>
  </cols>
  <sheetData>
    <row r="3" spans="1:2" x14ac:dyDescent="0.3">
      <c r="A3" s="3" t="s">
        <v>27</v>
      </c>
      <c r="B3" t="s">
        <v>31</v>
      </c>
    </row>
    <row r="4" spans="1:2" x14ac:dyDescent="0.3">
      <c r="A4" s="4" t="s">
        <v>8</v>
      </c>
      <c r="B4" s="6">
        <v>0.35077052764679539</v>
      </c>
    </row>
    <row r="5" spans="1:2" x14ac:dyDescent="0.3">
      <c r="A5" s="4" t="s">
        <v>9</v>
      </c>
      <c r="B5" s="6">
        <v>0.2739130434782609</v>
      </c>
    </row>
    <row r="6" spans="1:2" x14ac:dyDescent="0.3">
      <c r="A6" s="4" t="s">
        <v>10</v>
      </c>
      <c r="B6" s="6">
        <v>0.40413007171627885</v>
      </c>
    </row>
    <row r="7" spans="1:2" x14ac:dyDescent="0.3">
      <c r="A7" s="4" t="s">
        <v>11</v>
      </c>
      <c r="B7" s="6">
        <v>0.3491358604845447</v>
      </c>
    </row>
    <row r="8" spans="1:2" x14ac:dyDescent="0.3">
      <c r="A8" s="4" t="s">
        <v>12</v>
      </c>
      <c r="B8" s="6">
        <v>0.43571377891301294</v>
      </c>
    </row>
    <row r="9" spans="1:2" x14ac:dyDescent="0.3">
      <c r="A9" s="4" t="s">
        <v>13</v>
      </c>
      <c r="B9" s="6">
        <v>0.22629051620648261</v>
      </c>
    </row>
    <row r="10" spans="1:2" x14ac:dyDescent="0.3">
      <c r="A10" s="4" t="s">
        <v>14</v>
      </c>
      <c r="B10" s="6">
        <v>0.47816399286987493</v>
      </c>
    </row>
    <row r="11" spans="1:2" x14ac:dyDescent="0.3">
      <c r="A11" s="4" t="s">
        <v>15</v>
      </c>
      <c r="B11" s="6">
        <v>0.19990723562152132</v>
      </c>
    </row>
    <row r="12" spans="1:2" x14ac:dyDescent="0.3">
      <c r="A12" s="4" t="s">
        <v>16</v>
      </c>
      <c r="B12" s="6">
        <v>0.31351001939237239</v>
      </c>
    </row>
    <row r="13" spans="1:2" x14ac:dyDescent="0.3">
      <c r="A13" s="4" t="s">
        <v>28</v>
      </c>
      <c r="B13" s="6">
        <v>0.37932082056389338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4118-6BA6-474D-8A6B-CD51161D32E5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513D-A180-438A-A698-6A2564A1674F}">
  <dimension ref="A1:H202"/>
  <sheetViews>
    <sheetView workbookViewId="0">
      <selection activeCell="K17" sqref="K17"/>
    </sheetView>
  </sheetViews>
  <sheetFormatPr defaultRowHeight="14.4" x14ac:dyDescent="0.3"/>
  <cols>
    <col min="1" max="1" width="10.33203125" bestFit="1" customWidth="1"/>
    <col min="2" max="2" width="10.33203125" customWidth="1"/>
    <col min="3" max="3" width="16.6640625" customWidth="1"/>
    <col min="4" max="4" width="10.6640625" customWidth="1"/>
    <col min="5" max="5" width="13.21875" style="2" customWidth="1"/>
    <col min="6" max="6" width="15.88671875" bestFit="1" customWidth="1"/>
    <col min="7" max="7" width="18" bestFit="1" customWidth="1"/>
    <col min="8" max="8" width="28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45664</v>
      </c>
      <c r="B2" s="1" t="s">
        <v>8</v>
      </c>
      <c r="C2">
        <v>35</v>
      </c>
      <c r="D2">
        <v>12</v>
      </c>
      <c r="E2" s="2">
        <f>IF(C2=0, 0, D2/C2)</f>
        <v>0.34285714285714286</v>
      </c>
      <c r="F2" t="s">
        <v>21</v>
      </c>
      <c r="G2" t="str">
        <f>TEXT(A2,"yyyymmdd") &amp; "-" &amp; B2</f>
        <v>20250107-Hospital 1</v>
      </c>
      <c r="H2">
        <f>IF(COUNTIF($G$2:G2,G2)=1,C2,0)</f>
        <v>35</v>
      </c>
    </row>
    <row r="3" spans="1:8" x14ac:dyDescent="0.3">
      <c r="A3" s="1">
        <v>45664</v>
      </c>
      <c r="B3" s="1" t="s">
        <v>8</v>
      </c>
      <c r="C3">
        <v>35</v>
      </c>
      <c r="D3">
        <v>12</v>
      </c>
      <c r="E3" s="2">
        <f t="shared" ref="E3:E14" si="0">IF(C3=0, 0, D3/C3)</f>
        <v>0.34285714285714286</v>
      </c>
      <c r="F3" t="s">
        <v>19</v>
      </c>
      <c r="G3" t="str">
        <f t="shared" ref="G3:G14" si="1">TEXT(A3,"yyyymmdd") &amp; "-" &amp; B3</f>
        <v>20250107-Hospital 1</v>
      </c>
      <c r="H3">
        <f>IF(COUNTIF($G$2:G3,G3)=1,C3,0)</f>
        <v>0</v>
      </c>
    </row>
    <row r="4" spans="1:8" x14ac:dyDescent="0.3">
      <c r="A4" s="1">
        <v>45664</v>
      </c>
      <c r="B4" s="1" t="s">
        <v>8</v>
      </c>
      <c r="C4">
        <v>35</v>
      </c>
      <c r="D4">
        <v>12</v>
      </c>
      <c r="E4" s="2">
        <f t="shared" si="0"/>
        <v>0.34285714285714286</v>
      </c>
      <c r="F4" t="s">
        <v>17</v>
      </c>
      <c r="G4" t="str">
        <f t="shared" si="1"/>
        <v>20250107-Hospital 1</v>
      </c>
      <c r="H4">
        <f>IF(COUNTIF($G$2:G4,G4)=1,C4,0)</f>
        <v>0</v>
      </c>
    </row>
    <row r="5" spans="1:8" x14ac:dyDescent="0.3">
      <c r="A5" s="1">
        <v>45664</v>
      </c>
      <c r="B5" s="1" t="s">
        <v>8</v>
      </c>
      <c r="C5">
        <v>35</v>
      </c>
      <c r="D5">
        <v>12</v>
      </c>
      <c r="E5" s="2">
        <f t="shared" si="0"/>
        <v>0.34285714285714286</v>
      </c>
      <c r="F5" t="s">
        <v>17</v>
      </c>
      <c r="G5" t="str">
        <f t="shared" si="1"/>
        <v>20250107-Hospital 1</v>
      </c>
      <c r="H5">
        <f>IF(COUNTIF($G$2:G5,G5)=1,C5,0)</f>
        <v>0</v>
      </c>
    </row>
    <row r="6" spans="1:8" x14ac:dyDescent="0.3">
      <c r="A6" s="1">
        <v>45664</v>
      </c>
      <c r="B6" s="1" t="s">
        <v>8</v>
      </c>
      <c r="C6">
        <v>35</v>
      </c>
      <c r="D6">
        <v>12</v>
      </c>
      <c r="E6" s="2">
        <f t="shared" si="0"/>
        <v>0.34285714285714286</v>
      </c>
      <c r="F6" t="s">
        <v>18</v>
      </c>
      <c r="G6" t="str">
        <f t="shared" si="1"/>
        <v>20250107-Hospital 1</v>
      </c>
      <c r="H6">
        <f>IF(COUNTIF($G$2:G6,G6)=1,C6,0)</f>
        <v>0</v>
      </c>
    </row>
    <row r="7" spans="1:8" x14ac:dyDescent="0.3">
      <c r="A7" s="1">
        <v>45664</v>
      </c>
      <c r="B7" s="1" t="s">
        <v>8</v>
      </c>
      <c r="C7">
        <v>35</v>
      </c>
      <c r="D7">
        <v>12</v>
      </c>
      <c r="E7" s="2">
        <f t="shared" si="0"/>
        <v>0.34285714285714286</v>
      </c>
      <c r="F7" t="s">
        <v>18</v>
      </c>
      <c r="G7" t="str">
        <f t="shared" si="1"/>
        <v>20250107-Hospital 1</v>
      </c>
      <c r="H7">
        <f>IF(COUNTIF($G$2:G7,G7)=1,C7,0)</f>
        <v>0</v>
      </c>
    </row>
    <row r="8" spans="1:8" x14ac:dyDescent="0.3">
      <c r="A8" s="1">
        <v>45664</v>
      </c>
      <c r="B8" s="1" t="s">
        <v>8</v>
      </c>
      <c r="C8">
        <v>35</v>
      </c>
      <c r="D8">
        <v>12</v>
      </c>
      <c r="E8" s="2">
        <f t="shared" si="0"/>
        <v>0.34285714285714286</v>
      </c>
      <c r="F8" t="s">
        <v>18</v>
      </c>
      <c r="G8" t="str">
        <f t="shared" si="1"/>
        <v>20250107-Hospital 1</v>
      </c>
      <c r="H8">
        <f>IF(COUNTIF($G$2:G8,G8)=1,C8,0)</f>
        <v>0</v>
      </c>
    </row>
    <row r="9" spans="1:8" x14ac:dyDescent="0.3">
      <c r="A9" s="1">
        <v>45664</v>
      </c>
      <c r="B9" s="1" t="s">
        <v>8</v>
      </c>
      <c r="C9">
        <v>35</v>
      </c>
      <c r="D9">
        <v>12</v>
      </c>
      <c r="E9" s="2">
        <f t="shared" si="0"/>
        <v>0.34285714285714286</v>
      </c>
      <c r="F9" t="s">
        <v>20</v>
      </c>
      <c r="G9" t="str">
        <f t="shared" si="1"/>
        <v>20250107-Hospital 1</v>
      </c>
      <c r="H9">
        <f>IF(COUNTIF($G$2:G9,G9)=1,C9,0)</f>
        <v>0</v>
      </c>
    </row>
    <row r="10" spans="1:8" x14ac:dyDescent="0.3">
      <c r="A10" s="1">
        <v>45664</v>
      </c>
      <c r="B10" s="1" t="s">
        <v>8</v>
      </c>
      <c r="C10">
        <v>35</v>
      </c>
      <c r="D10">
        <v>12</v>
      </c>
      <c r="E10" s="2">
        <f t="shared" si="0"/>
        <v>0.34285714285714286</v>
      </c>
      <c r="F10" t="s">
        <v>22</v>
      </c>
      <c r="G10" t="str">
        <f t="shared" si="1"/>
        <v>20250107-Hospital 1</v>
      </c>
      <c r="H10">
        <f>IF(COUNTIF($G$2:G10,G10)=1,C10,0)</f>
        <v>0</v>
      </c>
    </row>
    <row r="11" spans="1:8" x14ac:dyDescent="0.3">
      <c r="A11" s="1">
        <v>45664</v>
      </c>
      <c r="B11" s="1" t="s">
        <v>8</v>
      </c>
      <c r="C11">
        <v>35</v>
      </c>
      <c r="D11">
        <v>12</v>
      </c>
      <c r="E11" s="2">
        <f t="shared" si="0"/>
        <v>0.34285714285714286</v>
      </c>
      <c r="F11" t="s">
        <v>22</v>
      </c>
      <c r="G11" t="str">
        <f t="shared" si="1"/>
        <v>20250107-Hospital 1</v>
      </c>
      <c r="H11">
        <f>IF(COUNTIF($G$2:G11,G11)=1,C11,0)</f>
        <v>0</v>
      </c>
    </row>
    <row r="12" spans="1:8" x14ac:dyDescent="0.3">
      <c r="A12" s="1">
        <v>45664</v>
      </c>
      <c r="B12" s="1" t="s">
        <v>8</v>
      </c>
      <c r="C12">
        <v>35</v>
      </c>
      <c r="D12">
        <v>12</v>
      </c>
      <c r="E12" s="2">
        <f t="shared" si="0"/>
        <v>0.34285714285714286</v>
      </c>
      <c r="F12" t="s">
        <v>18</v>
      </c>
      <c r="G12" t="str">
        <f t="shared" si="1"/>
        <v>20250107-Hospital 1</v>
      </c>
      <c r="H12">
        <f>IF(COUNTIF($G$2:G12,G12)=1,C12,0)</f>
        <v>0</v>
      </c>
    </row>
    <row r="13" spans="1:8" x14ac:dyDescent="0.3">
      <c r="A13" s="1">
        <v>45664</v>
      </c>
      <c r="B13" s="1" t="s">
        <v>8</v>
      </c>
      <c r="C13">
        <v>35</v>
      </c>
      <c r="D13">
        <v>12</v>
      </c>
      <c r="E13" s="2">
        <f t="shared" si="0"/>
        <v>0.34285714285714286</v>
      </c>
      <c r="F13" t="s">
        <v>18</v>
      </c>
      <c r="G13" t="str">
        <f t="shared" si="1"/>
        <v>20250107-Hospital 1</v>
      </c>
      <c r="H13">
        <f>IF(COUNTIF($G$2:G13,G13)=1,C13,0)</f>
        <v>0</v>
      </c>
    </row>
    <row r="14" spans="1:8" x14ac:dyDescent="0.3">
      <c r="A14" s="1">
        <v>45667</v>
      </c>
      <c r="B14" s="1" t="s">
        <v>9</v>
      </c>
      <c r="C14">
        <v>23</v>
      </c>
      <c r="D14">
        <v>7</v>
      </c>
      <c r="E14" s="2">
        <f t="shared" si="0"/>
        <v>0.30434782608695654</v>
      </c>
      <c r="F14" t="s">
        <v>17</v>
      </c>
      <c r="G14" t="str">
        <f t="shared" si="1"/>
        <v>20250110-Hospital 2</v>
      </c>
      <c r="H14">
        <f>IF(COUNTIF($G$2:G14,G14)=1,C14,0)</f>
        <v>23</v>
      </c>
    </row>
    <row r="15" spans="1:8" x14ac:dyDescent="0.3">
      <c r="A15" s="1">
        <v>45667</v>
      </c>
      <c r="B15" s="1" t="s">
        <v>9</v>
      </c>
      <c r="C15">
        <v>23</v>
      </c>
      <c r="D15">
        <v>7</v>
      </c>
      <c r="E15" s="2">
        <f t="shared" ref="E15:E21" si="2">IF(C15=0, 0, D15/C15)</f>
        <v>0.30434782608695654</v>
      </c>
      <c r="F15" t="s">
        <v>17</v>
      </c>
      <c r="G15" t="str">
        <f t="shared" ref="G15:G21" si="3">TEXT(A15,"yyyymmdd") &amp; "-" &amp; B15</f>
        <v>20250110-Hospital 2</v>
      </c>
      <c r="H15">
        <f>IF(COUNTIF($G$2:G15,G15)=1,C15,0)</f>
        <v>0</v>
      </c>
    </row>
    <row r="16" spans="1:8" x14ac:dyDescent="0.3">
      <c r="A16" s="1">
        <v>45667</v>
      </c>
      <c r="B16" s="1" t="s">
        <v>9</v>
      </c>
      <c r="C16">
        <v>23</v>
      </c>
      <c r="D16">
        <v>7</v>
      </c>
      <c r="E16" s="2">
        <f t="shared" si="2"/>
        <v>0.30434782608695654</v>
      </c>
      <c r="F16" t="s">
        <v>17</v>
      </c>
      <c r="G16" t="str">
        <f t="shared" si="3"/>
        <v>20250110-Hospital 2</v>
      </c>
      <c r="H16">
        <f>IF(COUNTIF($G$2:G16,G16)=1,C16,0)</f>
        <v>0</v>
      </c>
    </row>
    <row r="17" spans="1:8" x14ac:dyDescent="0.3">
      <c r="A17" s="1">
        <v>45667</v>
      </c>
      <c r="B17" s="1" t="s">
        <v>9</v>
      </c>
      <c r="C17">
        <v>23</v>
      </c>
      <c r="D17">
        <v>7</v>
      </c>
      <c r="E17" s="2">
        <f t="shared" si="2"/>
        <v>0.30434782608695654</v>
      </c>
      <c r="F17" t="s">
        <v>18</v>
      </c>
      <c r="G17" t="str">
        <f t="shared" si="3"/>
        <v>20250110-Hospital 2</v>
      </c>
      <c r="H17">
        <f>IF(COUNTIF($G$2:G17,G17)=1,C17,0)</f>
        <v>0</v>
      </c>
    </row>
    <row r="18" spans="1:8" x14ac:dyDescent="0.3">
      <c r="A18" s="1">
        <v>45667</v>
      </c>
      <c r="B18" s="1" t="s">
        <v>9</v>
      </c>
      <c r="C18">
        <v>23</v>
      </c>
      <c r="D18">
        <v>7</v>
      </c>
      <c r="E18" s="2">
        <f t="shared" si="2"/>
        <v>0.30434782608695654</v>
      </c>
      <c r="F18" t="s">
        <v>18</v>
      </c>
      <c r="G18" t="str">
        <f t="shared" si="3"/>
        <v>20250110-Hospital 2</v>
      </c>
      <c r="H18">
        <f>IF(COUNTIF($G$2:G18,G18)=1,C18,0)</f>
        <v>0</v>
      </c>
    </row>
    <row r="19" spans="1:8" x14ac:dyDescent="0.3">
      <c r="A19" s="1">
        <v>45667</v>
      </c>
      <c r="B19" s="1" t="s">
        <v>9</v>
      </c>
      <c r="C19">
        <v>23</v>
      </c>
      <c r="D19">
        <v>7</v>
      </c>
      <c r="E19" s="2">
        <f t="shared" si="2"/>
        <v>0.30434782608695654</v>
      </c>
      <c r="F19" t="s">
        <v>18</v>
      </c>
      <c r="G19" t="str">
        <f t="shared" si="3"/>
        <v>20250110-Hospital 2</v>
      </c>
      <c r="H19">
        <f>IF(COUNTIF($G$2:G19,G19)=1,C19,0)</f>
        <v>0</v>
      </c>
    </row>
    <row r="20" spans="1:8" x14ac:dyDescent="0.3">
      <c r="A20" s="1">
        <v>45667</v>
      </c>
      <c r="B20" s="1" t="s">
        <v>9</v>
      </c>
      <c r="C20">
        <v>23</v>
      </c>
      <c r="D20">
        <v>7</v>
      </c>
      <c r="E20" s="2">
        <f t="shared" si="2"/>
        <v>0.30434782608695654</v>
      </c>
      <c r="F20" t="s">
        <v>21</v>
      </c>
      <c r="G20" t="str">
        <f t="shared" si="3"/>
        <v>20250110-Hospital 2</v>
      </c>
      <c r="H20">
        <f>IF(COUNTIF($G$2:G20,G20)=1,C20,0)</f>
        <v>0</v>
      </c>
    </row>
    <row r="21" spans="1:8" x14ac:dyDescent="0.3">
      <c r="A21" s="1">
        <v>45670</v>
      </c>
      <c r="B21" s="1" t="s">
        <v>10</v>
      </c>
      <c r="C21">
        <v>29</v>
      </c>
      <c r="D21">
        <v>12</v>
      </c>
      <c r="E21" s="2">
        <f t="shared" si="2"/>
        <v>0.41379310344827586</v>
      </c>
      <c r="F21" t="s">
        <v>20</v>
      </c>
      <c r="G21" t="str">
        <f t="shared" si="3"/>
        <v>20250113-Hospital 3</v>
      </c>
      <c r="H21">
        <f>IF(COUNTIF($G$2:G21,G21)=1,C21,0)</f>
        <v>29</v>
      </c>
    </row>
    <row r="22" spans="1:8" x14ac:dyDescent="0.3">
      <c r="A22" s="1">
        <v>45670</v>
      </c>
      <c r="B22" s="1" t="s">
        <v>10</v>
      </c>
      <c r="C22">
        <v>29</v>
      </c>
      <c r="D22">
        <v>12</v>
      </c>
      <c r="E22" s="2">
        <f t="shared" ref="E22:E33" si="4">IF(C22=0, 0, D22/C22)</f>
        <v>0.41379310344827586</v>
      </c>
      <c r="F22" t="s">
        <v>24</v>
      </c>
      <c r="G22" t="str">
        <f t="shared" ref="G22:G33" si="5">TEXT(A22,"yyyymmdd") &amp; "-" &amp; B22</f>
        <v>20250113-Hospital 3</v>
      </c>
      <c r="H22">
        <f>IF(COUNTIF($G$2:G22,G22)=1,C22,0)</f>
        <v>0</v>
      </c>
    </row>
    <row r="23" spans="1:8" x14ac:dyDescent="0.3">
      <c r="A23" s="1">
        <v>45670</v>
      </c>
      <c r="B23" s="1" t="s">
        <v>10</v>
      </c>
      <c r="C23">
        <v>29</v>
      </c>
      <c r="D23">
        <v>12</v>
      </c>
      <c r="E23" s="2">
        <f t="shared" si="4"/>
        <v>0.41379310344827586</v>
      </c>
      <c r="F23" t="s">
        <v>17</v>
      </c>
      <c r="G23" t="str">
        <f t="shared" si="5"/>
        <v>20250113-Hospital 3</v>
      </c>
      <c r="H23">
        <f>IF(COUNTIF($G$2:G23,G23)=1,C23,0)</f>
        <v>0</v>
      </c>
    </row>
    <row r="24" spans="1:8" x14ac:dyDescent="0.3">
      <c r="A24" s="1">
        <v>45670</v>
      </c>
      <c r="B24" s="1" t="s">
        <v>10</v>
      </c>
      <c r="C24">
        <v>29</v>
      </c>
      <c r="D24">
        <v>12</v>
      </c>
      <c r="E24" s="2">
        <f t="shared" si="4"/>
        <v>0.41379310344827586</v>
      </c>
      <c r="F24" t="s">
        <v>17</v>
      </c>
      <c r="G24" t="str">
        <f t="shared" si="5"/>
        <v>20250113-Hospital 3</v>
      </c>
      <c r="H24">
        <f>IF(COUNTIF($G$2:G24,G24)=1,C24,0)</f>
        <v>0</v>
      </c>
    </row>
    <row r="25" spans="1:8" x14ac:dyDescent="0.3">
      <c r="A25" s="1">
        <v>45670</v>
      </c>
      <c r="B25" s="1" t="s">
        <v>10</v>
      </c>
      <c r="C25">
        <v>29</v>
      </c>
      <c r="D25">
        <v>12</v>
      </c>
      <c r="E25" s="2">
        <f t="shared" si="4"/>
        <v>0.41379310344827586</v>
      </c>
      <c r="F25" t="s">
        <v>18</v>
      </c>
      <c r="G25" t="str">
        <f t="shared" si="5"/>
        <v>20250113-Hospital 3</v>
      </c>
      <c r="H25">
        <f>IF(COUNTIF($G$2:G25,G25)=1,C25,0)</f>
        <v>0</v>
      </c>
    </row>
    <row r="26" spans="1:8" x14ac:dyDescent="0.3">
      <c r="A26" s="1">
        <v>45670</v>
      </c>
      <c r="B26" s="1" t="s">
        <v>10</v>
      </c>
      <c r="C26">
        <v>29</v>
      </c>
      <c r="D26">
        <v>12</v>
      </c>
      <c r="E26" s="2">
        <f t="shared" si="4"/>
        <v>0.41379310344827586</v>
      </c>
      <c r="F26" t="s">
        <v>18</v>
      </c>
      <c r="G26" t="str">
        <f t="shared" si="5"/>
        <v>20250113-Hospital 3</v>
      </c>
      <c r="H26">
        <f>IF(COUNTIF($G$2:G26,G26)=1,C26,0)</f>
        <v>0</v>
      </c>
    </row>
    <row r="27" spans="1:8" x14ac:dyDescent="0.3">
      <c r="A27" s="1">
        <v>45670</v>
      </c>
      <c r="B27" s="1" t="s">
        <v>10</v>
      </c>
      <c r="C27">
        <v>29</v>
      </c>
      <c r="D27">
        <v>12</v>
      </c>
      <c r="E27" s="2">
        <f t="shared" si="4"/>
        <v>0.41379310344827586</v>
      </c>
      <c r="F27" t="s">
        <v>18</v>
      </c>
      <c r="G27" t="str">
        <f t="shared" si="5"/>
        <v>20250113-Hospital 3</v>
      </c>
      <c r="H27">
        <f>IF(COUNTIF($G$2:G27,G27)=1,C27,0)</f>
        <v>0</v>
      </c>
    </row>
    <row r="28" spans="1:8" x14ac:dyDescent="0.3">
      <c r="A28" s="1">
        <v>45670</v>
      </c>
      <c r="B28" s="1" t="s">
        <v>10</v>
      </c>
      <c r="C28">
        <v>29</v>
      </c>
      <c r="D28">
        <v>12</v>
      </c>
      <c r="E28" s="2">
        <f t="shared" si="4"/>
        <v>0.41379310344827586</v>
      </c>
      <c r="F28" t="s">
        <v>21</v>
      </c>
      <c r="G28" t="str">
        <f t="shared" si="5"/>
        <v>20250113-Hospital 3</v>
      </c>
      <c r="H28">
        <f>IF(COUNTIF($G$2:G28,G28)=1,C28,0)</f>
        <v>0</v>
      </c>
    </row>
    <row r="29" spans="1:8" x14ac:dyDescent="0.3">
      <c r="A29" s="1">
        <v>45670</v>
      </c>
      <c r="B29" s="1" t="s">
        <v>10</v>
      </c>
      <c r="C29">
        <v>29</v>
      </c>
      <c r="D29">
        <v>12</v>
      </c>
      <c r="E29" s="2">
        <f t="shared" si="4"/>
        <v>0.41379310344827586</v>
      </c>
      <c r="F29" t="s">
        <v>23</v>
      </c>
      <c r="G29" t="str">
        <f t="shared" si="5"/>
        <v>20250113-Hospital 3</v>
      </c>
      <c r="H29">
        <f>IF(COUNTIF($G$2:G29,G29)=1,C29,0)</f>
        <v>0</v>
      </c>
    </row>
    <row r="30" spans="1:8" x14ac:dyDescent="0.3">
      <c r="A30" s="1">
        <v>45670</v>
      </c>
      <c r="B30" s="1" t="s">
        <v>10</v>
      </c>
      <c r="C30">
        <v>29</v>
      </c>
      <c r="D30">
        <v>12</v>
      </c>
      <c r="E30" s="2">
        <f t="shared" si="4"/>
        <v>0.41379310344827586</v>
      </c>
      <c r="F30" t="s">
        <v>18</v>
      </c>
      <c r="G30" t="str">
        <f t="shared" si="5"/>
        <v>20250113-Hospital 3</v>
      </c>
      <c r="H30">
        <f>IF(COUNTIF($G$2:G30,G30)=1,C30,0)</f>
        <v>0</v>
      </c>
    </row>
    <row r="31" spans="1:8" x14ac:dyDescent="0.3">
      <c r="A31" s="1">
        <v>45670</v>
      </c>
      <c r="B31" s="1" t="s">
        <v>10</v>
      </c>
      <c r="C31">
        <v>29</v>
      </c>
      <c r="D31">
        <v>12</v>
      </c>
      <c r="E31" s="2">
        <f t="shared" si="4"/>
        <v>0.41379310344827586</v>
      </c>
      <c r="F31" t="s">
        <v>19</v>
      </c>
      <c r="G31" t="str">
        <f t="shared" si="5"/>
        <v>20250113-Hospital 3</v>
      </c>
      <c r="H31">
        <f>IF(COUNTIF($G$2:G31,G31)=1,C31,0)</f>
        <v>0</v>
      </c>
    </row>
    <row r="32" spans="1:8" x14ac:dyDescent="0.3">
      <c r="A32" s="1">
        <v>45670</v>
      </c>
      <c r="B32" s="1" t="s">
        <v>10</v>
      </c>
      <c r="C32">
        <v>29</v>
      </c>
      <c r="D32">
        <v>12</v>
      </c>
      <c r="E32" s="2">
        <f t="shared" si="4"/>
        <v>0.41379310344827586</v>
      </c>
      <c r="F32" t="s">
        <v>22</v>
      </c>
      <c r="G32" t="str">
        <f t="shared" si="5"/>
        <v>20250113-Hospital 3</v>
      </c>
      <c r="H32">
        <f>IF(COUNTIF($G$2:G32,G32)=1,C32,0)</f>
        <v>0</v>
      </c>
    </row>
    <row r="33" spans="1:8" x14ac:dyDescent="0.3">
      <c r="A33" s="1">
        <v>45671</v>
      </c>
      <c r="B33" s="1" t="s">
        <v>11</v>
      </c>
      <c r="C33">
        <v>16</v>
      </c>
      <c r="D33">
        <v>3</v>
      </c>
      <c r="E33" s="2">
        <f t="shared" si="4"/>
        <v>0.1875</v>
      </c>
      <c r="F33" t="s">
        <v>17</v>
      </c>
      <c r="G33" t="str">
        <f t="shared" si="5"/>
        <v>20250114-Hospital 4</v>
      </c>
      <c r="H33">
        <f>IF(COUNTIF($G$2:G33,G33)=1,C33,0)</f>
        <v>16</v>
      </c>
    </row>
    <row r="34" spans="1:8" x14ac:dyDescent="0.3">
      <c r="A34" s="1">
        <v>45671</v>
      </c>
      <c r="B34" s="1" t="s">
        <v>11</v>
      </c>
      <c r="C34">
        <v>16</v>
      </c>
      <c r="D34">
        <v>3</v>
      </c>
      <c r="E34" s="2">
        <f t="shared" ref="E34:E36" si="6">IF(C34=0, 0, D34/C34)</f>
        <v>0.1875</v>
      </c>
      <c r="F34" t="s">
        <v>17</v>
      </c>
      <c r="G34" t="str">
        <f t="shared" ref="G34:G36" si="7">TEXT(A34,"yyyymmdd") &amp; "-" &amp; B34</f>
        <v>20250114-Hospital 4</v>
      </c>
      <c r="H34">
        <f>IF(COUNTIF($G$2:G34,G34)=1,C34,0)</f>
        <v>0</v>
      </c>
    </row>
    <row r="35" spans="1:8" x14ac:dyDescent="0.3">
      <c r="A35" s="1">
        <v>45671</v>
      </c>
      <c r="B35" s="1" t="s">
        <v>11</v>
      </c>
      <c r="C35">
        <v>16</v>
      </c>
      <c r="D35">
        <v>3</v>
      </c>
      <c r="E35" s="2">
        <f t="shared" si="6"/>
        <v>0.1875</v>
      </c>
      <c r="F35" t="s">
        <v>18</v>
      </c>
      <c r="G35" t="str">
        <f t="shared" si="7"/>
        <v>20250114-Hospital 4</v>
      </c>
      <c r="H35">
        <f>IF(COUNTIF($G$2:G35,G35)=1,C35,0)</f>
        <v>0</v>
      </c>
    </row>
    <row r="36" spans="1:8" x14ac:dyDescent="0.3">
      <c r="A36" s="1">
        <v>45673</v>
      </c>
      <c r="B36" s="1" t="s">
        <v>11</v>
      </c>
      <c r="C36">
        <v>18</v>
      </c>
      <c r="D36">
        <v>8</v>
      </c>
      <c r="E36" s="2">
        <f t="shared" si="6"/>
        <v>0.44444444444444442</v>
      </c>
      <c r="F36" t="s">
        <v>19</v>
      </c>
      <c r="G36" t="str">
        <f t="shared" si="7"/>
        <v>20250116-Hospital 4</v>
      </c>
      <c r="H36">
        <f>IF(COUNTIF($G$2:G36,G36)=1,C36,0)</f>
        <v>18</v>
      </c>
    </row>
    <row r="37" spans="1:8" x14ac:dyDescent="0.3">
      <c r="A37" s="1">
        <v>45673</v>
      </c>
      <c r="B37" s="1" t="s">
        <v>11</v>
      </c>
      <c r="C37">
        <v>18</v>
      </c>
      <c r="D37">
        <v>8</v>
      </c>
      <c r="E37" s="2">
        <f t="shared" ref="E37:E44" si="8">IF(C37=0, 0, D37/C37)</f>
        <v>0.44444444444444442</v>
      </c>
      <c r="F37" t="s">
        <v>20</v>
      </c>
      <c r="G37" t="str">
        <f t="shared" ref="G37:G44" si="9">TEXT(A37,"yyyymmdd") &amp; "-" &amp; B37</f>
        <v>20250116-Hospital 4</v>
      </c>
      <c r="H37">
        <f>IF(COUNTIF($G$2:G37,G37)=1,C37,0)</f>
        <v>0</v>
      </c>
    </row>
    <row r="38" spans="1:8" x14ac:dyDescent="0.3">
      <c r="A38" s="1">
        <v>45673</v>
      </c>
      <c r="B38" s="1" t="s">
        <v>11</v>
      </c>
      <c r="C38">
        <v>18</v>
      </c>
      <c r="D38">
        <v>8</v>
      </c>
      <c r="E38" s="2">
        <f t="shared" si="8"/>
        <v>0.44444444444444442</v>
      </c>
      <c r="F38" t="s">
        <v>24</v>
      </c>
      <c r="G38" t="str">
        <f t="shared" si="9"/>
        <v>20250116-Hospital 4</v>
      </c>
      <c r="H38">
        <f>IF(COUNTIF($G$2:G38,G38)=1,C38,0)</f>
        <v>0</v>
      </c>
    </row>
    <row r="39" spans="1:8" x14ac:dyDescent="0.3">
      <c r="A39" s="1">
        <v>45673</v>
      </c>
      <c r="B39" s="1" t="s">
        <v>11</v>
      </c>
      <c r="C39">
        <v>18</v>
      </c>
      <c r="D39">
        <v>8</v>
      </c>
      <c r="E39" s="2">
        <f t="shared" si="8"/>
        <v>0.44444444444444442</v>
      </c>
      <c r="F39" t="s">
        <v>18</v>
      </c>
      <c r="G39" t="str">
        <f t="shared" si="9"/>
        <v>20250116-Hospital 4</v>
      </c>
      <c r="H39">
        <f>IF(COUNTIF($G$2:G39,G39)=1,C39,0)</f>
        <v>0</v>
      </c>
    </row>
    <row r="40" spans="1:8" x14ac:dyDescent="0.3">
      <c r="A40" s="1">
        <v>45673</v>
      </c>
      <c r="B40" s="1" t="s">
        <v>11</v>
      </c>
      <c r="C40">
        <v>18</v>
      </c>
      <c r="D40">
        <v>8</v>
      </c>
      <c r="E40" s="2">
        <f t="shared" si="8"/>
        <v>0.44444444444444442</v>
      </c>
      <c r="F40" t="s">
        <v>18</v>
      </c>
      <c r="G40" t="str">
        <f t="shared" si="9"/>
        <v>20250116-Hospital 4</v>
      </c>
      <c r="H40">
        <f>IF(COUNTIF($G$2:G40,G40)=1,C40,0)</f>
        <v>0</v>
      </c>
    </row>
    <row r="41" spans="1:8" x14ac:dyDescent="0.3">
      <c r="A41" s="1">
        <v>45673</v>
      </c>
      <c r="B41" s="1" t="s">
        <v>11</v>
      </c>
      <c r="C41">
        <v>18</v>
      </c>
      <c r="D41">
        <v>8</v>
      </c>
      <c r="E41" s="2">
        <f t="shared" si="8"/>
        <v>0.44444444444444442</v>
      </c>
      <c r="F41" t="s">
        <v>18</v>
      </c>
      <c r="G41" t="str">
        <f t="shared" si="9"/>
        <v>20250116-Hospital 4</v>
      </c>
      <c r="H41">
        <f>IF(COUNTIF($G$2:G41,G41)=1,C41,0)</f>
        <v>0</v>
      </c>
    </row>
    <row r="42" spans="1:8" x14ac:dyDescent="0.3">
      <c r="A42" s="1">
        <v>45673</v>
      </c>
      <c r="B42" s="1" t="s">
        <v>11</v>
      </c>
      <c r="C42">
        <v>18</v>
      </c>
      <c r="D42">
        <v>8</v>
      </c>
      <c r="E42" s="2">
        <f t="shared" si="8"/>
        <v>0.44444444444444442</v>
      </c>
      <c r="F42" t="s">
        <v>21</v>
      </c>
      <c r="G42" t="str">
        <f t="shared" si="9"/>
        <v>20250116-Hospital 4</v>
      </c>
      <c r="H42">
        <f>IF(COUNTIF($G$2:G42,G42)=1,C42,0)</f>
        <v>0</v>
      </c>
    </row>
    <row r="43" spans="1:8" x14ac:dyDescent="0.3">
      <c r="A43" s="1">
        <v>45673</v>
      </c>
      <c r="B43" s="1" t="s">
        <v>11</v>
      </c>
      <c r="C43">
        <v>18</v>
      </c>
      <c r="D43">
        <v>8</v>
      </c>
      <c r="E43" s="2">
        <f t="shared" si="8"/>
        <v>0.44444444444444442</v>
      </c>
      <c r="F43" t="s">
        <v>17</v>
      </c>
      <c r="G43" t="str">
        <f t="shared" si="9"/>
        <v>20250116-Hospital 4</v>
      </c>
      <c r="H43">
        <f>IF(COUNTIF($G$2:G43,G43)=1,C43,0)</f>
        <v>0</v>
      </c>
    </row>
    <row r="44" spans="1:8" x14ac:dyDescent="0.3">
      <c r="A44" s="1">
        <v>45680</v>
      </c>
      <c r="B44" s="1" t="s">
        <v>8</v>
      </c>
      <c r="C44">
        <v>29</v>
      </c>
      <c r="D44">
        <v>10</v>
      </c>
      <c r="E44" s="2">
        <f t="shared" si="8"/>
        <v>0.34482758620689657</v>
      </c>
      <c r="F44" t="s">
        <v>22</v>
      </c>
      <c r="G44" t="str">
        <f t="shared" si="9"/>
        <v>20250123-Hospital 1</v>
      </c>
      <c r="H44">
        <f>IF(COUNTIF($G$2:G44,G44)=1,C44,0)</f>
        <v>29</v>
      </c>
    </row>
    <row r="45" spans="1:8" x14ac:dyDescent="0.3">
      <c r="A45" s="1">
        <v>45680</v>
      </c>
      <c r="B45" s="1" t="s">
        <v>8</v>
      </c>
      <c r="C45">
        <v>29</v>
      </c>
      <c r="D45">
        <v>10</v>
      </c>
      <c r="E45" s="2">
        <f t="shared" ref="E45:E54" si="10">IF(C45=0, 0, D45/C45)</f>
        <v>0.34482758620689657</v>
      </c>
      <c r="F45" t="s">
        <v>22</v>
      </c>
      <c r="G45" t="str">
        <f t="shared" ref="G45:G54" si="11">TEXT(A45,"yyyymmdd") &amp; "-" &amp; B45</f>
        <v>20250123-Hospital 1</v>
      </c>
      <c r="H45">
        <f>IF(COUNTIF($G$2:G45,G45)=1,C45,0)</f>
        <v>0</v>
      </c>
    </row>
    <row r="46" spans="1:8" x14ac:dyDescent="0.3">
      <c r="A46" s="1">
        <v>45680</v>
      </c>
      <c r="B46" s="1" t="s">
        <v>8</v>
      </c>
      <c r="C46">
        <v>29</v>
      </c>
      <c r="D46">
        <v>10</v>
      </c>
      <c r="E46" s="2">
        <f t="shared" si="10"/>
        <v>0.34482758620689657</v>
      </c>
      <c r="F46" t="s">
        <v>24</v>
      </c>
      <c r="G46" t="str">
        <f t="shared" si="11"/>
        <v>20250123-Hospital 1</v>
      </c>
      <c r="H46">
        <f>IF(COUNTIF($G$2:G46,G46)=1,C46,0)</f>
        <v>0</v>
      </c>
    </row>
    <row r="47" spans="1:8" x14ac:dyDescent="0.3">
      <c r="A47" s="1">
        <v>45680</v>
      </c>
      <c r="B47" s="1" t="s">
        <v>8</v>
      </c>
      <c r="C47">
        <v>29</v>
      </c>
      <c r="D47">
        <v>10</v>
      </c>
      <c r="E47" s="2">
        <f t="shared" si="10"/>
        <v>0.34482758620689657</v>
      </c>
      <c r="F47" t="s">
        <v>23</v>
      </c>
      <c r="G47" t="str">
        <f t="shared" si="11"/>
        <v>20250123-Hospital 1</v>
      </c>
      <c r="H47">
        <f>IF(COUNTIF($G$2:G47,G47)=1,C47,0)</f>
        <v>0</v>
      </c>
    </row>
    <row r="48" spans="1:8" x14ac:dyDescent="0.3">
      <c r="A48" s="1">
        <v>45680</v>
      </c>
      <c r="B48" s="1" t="s">
        <v>8</v>
      </c>
      <c r="C48">
        <v>29</v>
      </c>
      <c r="D48">
        <v>10</v>
      </c>
      <c r="E48" s="2">
        <f t="shared" si="10"/>
        <v>0.34482758620689657</v>
      </c>
      <c r="F48" t="s">
        <v>23</v>
      </c>
      <c r="G48" t="str">
        <f t="shared" si="11"/>
        <v>20250123-Hospital 1</v>
      </c>
      <c r="H48">
        <f>IF(COUNTIF($G$2:G48,G48)=1,C48,0)</f>
        <v>0</v>
      </c>
    </row>
    <row r="49" spans="1:8" x14ac:dyDescent="0.3">
      <c r="A49" s="1">
        <v>45680</v>
      </c>
      <c r="B49" s="1" t="s">
        <v>8</v>
      </c>
      <c r="C49">
        <v>29</v>
      </c>
      <c r="D49">
        <v>10</v>
      </c>
      <c r="E49" s="2">
        <f t="shared" si="10"/>
        <v>0.34482758620689657</v>
      </c>
      <c r="F49" t="s">
        <v>18</v>
      </c>
      <c r="G49" t="str">
        <f t="shared" si="11"/>
        <v>20250123-Hospital 1</v>
      </c>
      <c r="H49">
        <f>IF(COUNTIF($G$2:G49,G49)=1,C49,0)</f>
        <v>0</v>
      </c>
    </row>
    <row r="50" spans="1:8" x14ac:dyDescent="0.3">
      <c r="A50" s="1">
        <v>45680</v>
      </c>
      <c r="B50" s="1" t="s">
        <v>8</v>
      </c>
      <c r="C50">
        <v>29</v>
      </c>
      <c r="D50">
        <v>10</v>
      </c>
      <c r="E50" s="2">
        <f t="shared" si="10"/>
        <v>0.34482758620689657</v>
      </c>
      <c r="F50" t="s">
        <v>18</v>
      </c>
      <c r="G50" t="str">
        <f t="shared" si="11"/>
        <v>20250123-Hospital 1</v>
      </c>
      <c r="H50">
        <f>IF(COUNTIF($G$2:G50,G50)=1,C50,0)</f>
        <v>0</v>
      </c>
    </row>
    <row r="51" spans="1:8" x14ac:dyDescent="0.3">
      <c r="A51" s="1">
        <v>45680</v>
      </c>
      <c r="B51" s="1" t="s">
        <v>8</v>
      </c>
      <c r="C51">
        <v>29</v>
      </c>
      <c r="D51">
        <v>10</v>
      </c>
      <c r="E51" s="2">
        <f t="shared" si="10"/>
        <v>0.34482758620689657</v>
      </c>
      <c r="F51" t="s">
        <v>18</v>
      </c>
      <c r="G51" t="str">
        <f t="shared" si="11"/>
        <v>20250123-Hospital 1</v>
      </c>
      <c r="H51">
        <f>IF(COUNTIF($G$2:G51,G51)=1,C51,0)</f>
        <v>0</v>
      </c>
    </row>
    <row r="52" spans="1:8" x14ac:dyDescent="0.3">
      <c r="A52" s="1">
        <v>45680</v>
      </c>
      <c r="B52" s="1" t="s">
        <v>8</v>
      </c>
      <c r="C52">
        <v>29</v>
      </c>
      <c r="D52">
        <v>10</v>
      </c>
      <c r="E52" s="2">
        <f t="shared" si="10"/>
        <v>0.34482758620689657</v>
      </c>
      <c r="F52" t="s">
        <v>17</v>
      </c>
      <c r="G52" t="str">
        <f t="shared" si="11"/>
        <v>20250123-Hospital 1</v>
      </c>
      <c r="H52">
        <f>IF(COUNTIF($G$2:G52,G52)=1,C52,0)</f>
        <v>0</v>
      </c>
    </row>
    <row r="53" spans="1:8" x14ac:dyDescent="0.3">
      <c r="A53" s="1">
        <v>45680</v>
      </c>
      <c r="B53" s="1" t="s">
        <v>8</v>
      </c>
      <c r="C53">
        <v>29</v>
      </c>
      <c r="D53">
        <v>10</v>
      </c>
      <c r="E53" s="2">
        <f t="shared" si="10"/>
        <v>0.34482758620689657</v>
      </c>
      <c r="F53" t="s">
        <v>17</v>
      </c>
      <c r="G53" t="str">
        <f t="shared" si="11"/>
        <v>20250123-Hospital 1</v>
      </c>
      <c r="H53">
        <f>IF(COUNTIF($G$2:G53,G53)=1,C53,0)</f>
        <v>0</v>
      </c>
    </row>
    <row r="54" spans="1:8" x14ac:dyDescent="0.3">
      <c r="A54" s="1">
        <v>45684</v>
      </c>
      <c r="B54" s="1" t="s">
        <v>11</v>
      </c>
      <c r="C54">
        <v>19</v>
      </c>
      <c r="D54">
        <v>7</v>
      </c>
      <c r="E54" s="2">
        <f t="shared" si="10"/>
        <v>0.36842105263157893</v>
      </c>
      <c r="F54" t="s">
        <v>22</v>
      </c>
      <c r="G54" t="str">
        <f t="shared" si="11"/>
        <v>20250127-Hospital 4</v>
      </c>
      <c r="H54">
        <f>IF(COUNTIF($G$2:G54,G54)=1,C54,0)</f>
        <v>19</v>
      </c>
    </row>
    <row r="55" spans="1:8" x14ac:dyDescent="0.3">
      <c r="A55" s="1">
        <v>45684</v>
      </c>
      <c r="B55" s="1" t="s">
        <v>11</v>
      </c>
      <c r="C55">
        <v>19</v>
      </c>
      <c r="D55">
        <v>7</v>
      </c>
      <c r="E55" s="2">
        <f t="shared" ref="E55:E61" si="12">IF(C55=0, 0, D55/C55)</f>
        <v>0.36842105263157893</v>
      </c>
      <c r="F55" t="s">
        <v>21</v>
      </c>
      <c r="G55" t="str">
        <f t="shared" ref="G55:G61" si="13">TEXT(A55,"yyyymmdd") &amp; "-" &amp; B55</f>
        <v>20250127-Hospital 4</v>
      </c>
      <c r="H55">
        <f>IF(COUNTIF($G$2:G55,G55)=1,C55,0)</f>
        <v>0</v>
      </c>
    </row>
    <row r="56" spans="1:8" x14ac:dyDescent="0.3">
      <c r="A56" s="1">
        <v>45684</v>
      </c>
      <c r="B56" s="1" t="s">
        <v>11</v>
      </c>
      <c r="C56">
        <v>19</v>
      </c>
      <c r="D56">
        <v>7</v>
      </c>
      <c r="E56" s="2">
        <f t="shared" si="12"/>
        <v>0.36842105263157893</v>
      </c>
      <c r="F56" t="s">
        <v>18</v>
      </c>
      <c r="G56" t="str">
        <f t="shared" si="13"/>
        <v>20250127-Hospital 4</v>
      </c>
      <c r="H56">
        <f>IF(COUNTIF($G$2:G56,G56)=1,C56,0)</f>
        <v>0</v>
      </c>
    </row>
    <row r="57" spans="1:8" x14ac:dyDescent="0.3">
      <c r="A57" s="1">
        <v>45684</v>
      </c>
      <c r="B57" s="1" t="s">
        <v>11</v>
      </c>
      <c r="C57">
        <v>19</v>
      </c>
      <c r="D57">
        <v>7</v>
      </c>
      <c r="E57" s="2">
        <f t="shared" si="12"/>
        <v>0.36842105263157893</v>
      </c>
      <c r="F57" t="s">
        <v>18</v>
      </c>
      <c r="G57" t="str">
        <f t="shared" si="13"/>
        <v>20250127-Hospital 4</v>
      </c>
      <c r="H57">
        <f>IF(COUNTIF($G$2:G57,G57)=1,C57,0)</f>
        <v>0</v>
      </c>
    </row>
    <row r="58" spans="1:8" x14ac:dyDescent="0.3">
      <c r="A58" s="1">
        <v>45684</v>
      </c>
      <c r="B58" s="1" t="s">
        <v>11</v>
      </c>
      <c r="C58">
        <v>19</v>
      </c>
      <c r="D58">
        <v>7</v>
      </c>
      <c r="E58" s="2">
        <f t="shared" si="12"/>
        <v>0.36842105263157893</v>
      </c>
      <c r="F58" t="s">
        <v>18</v>
      </c>
      <c r="G58" t="str">
        <f t="shared" si="13"/>
        <v>20250127-Hospital 4</v>
      </c>
      <c r="H58">
        <f>IF(COUNTIF($G$2:G58,G58)=1,C58,0)</f>
        <v>0</v>
      </c>
    </row>
    <row r="59" spans="1:8" x14ac:dyDescent="0.3">
      <c r="A59" s="1">
        <v>45684</v>
      </c>
      <c r="B59" s="1" t="s">
        <v>11</v>
      </c>
      <c r="C59">
        <v>19</v>
      </c>
      <c r="D59">
        <v>7</v>
      </c>
      <c r="E59" s="2">
        <f t="shared" si="12"/>
        <v>0.36842105263157893</v>
      </c>
      <c r="F59" t="s">
        <v>17</v>
      </c>
      <c r="G59" t="str">
        <f t="shared" si="13"/>
        <v>20250127-Hospital 4</v>
      </c>
      <c r="H59">
        <f>IF(COUNTIF($G$2:G59,G59)=1,C59,0)</f>
        <v>0</v>
      </c>
    </row>
    <row r="60" spans="1:8" x14ac:dyDescent="0.3">
      <c r="A60" s="1">
        <v>45684</v>
      </c>
      <c r="B60" s="1" t="s">
        <v>11</v>
      </c>
      <c r="C60">
        <v>19</v>
      </c>
      <c r="D60">
        <v>7</v>
      </c>
      <c r="E60" s="2">
        <f t="shared" si="12"/>
        <v>0.36842105263157893</v>
      </c>
      <c r="F60" t="s">
        <v>21</v>
      </c>
      <c r="G60" t="str">
        <f t="shared" si="13"/>
        <v>20250127-Hospital 4</v>
      </c>
      <c r="H60">
        <f>IF(COUNTIF($G$2:G60,G60)=1,C60,0)</f>
        <v>0</v>
      </c>
    </row>
    <row r="61" spans="1:8" x14ac:dyDescent="0.3">
      <c r="A61" s="1">
        <v>45701</v>
      </c>
      <c r="B61" s="1" t="s">
        <v>9</v>
      </c>
      <c r="C61">
        <v>25</v>
      </c>
      <c r="D61">
        <v>5</v>
      </c>
      <c r="E61" s="2">
        <f t="shared" si="12"/>
        <v>0.2</v>
      </c>
      <c r="F61" t="s">
        <v>18</v>
      </c>
      <c r="G61" t="str">
        <f t="shared" si="13"/>
        <v>20250213-Hospital 2</v>
      </c>
      <c r="H61">
        <f>IF(COUNTIF($G$2:G61,G61)=1,C61,0)</f>
        <v>25</v>
      </c>
    </row>
    <row r="62" spans="1:8" x14ac:dyDescent="0.3">
      <c r="A62" s="1">
        <v>45701</v>
      </c>
      <c r="B62" s="1" t="s">
        <v>9</v>
      </c>
      <c r="C62">
        <v>25</v>
      </c>
      <c r="D62">
        <v>5</v>
      </c>
      <c r="E62" s="2">
        <f t="shared" ref="E62:E66" si="14">IF(C62=0, 0, D62/C62)</f>
        <v>0.2</v>
      </c>
      <c r="F62" t="s">
        <v>18</v>
      </c>
      <c r="G62" t="str">
        <f t="shared" ref="G62:G66" si="15">TEXT(A62,"yyyymmdd") &amp; "-" &amp; B62</f>
        <v>20250213-Hospital 2</v>
      </c>
      <c r="H62">
        <f>IF(COUNTIF($G$2:G62,G62)=1,C62,0)</f>
        <v>0</v>
      </c>
    </row>
    <row r="63" spans="1:8" x14ac:dyDescent="0.3">
      <c r="A63" s="1">
        <v>45701</v>
      </c>
      <c r="B63" s="1" t="s">
        <v>9</v>
      </c>
      <c r="C63">
        <v>25</v>
      </c>
      <c r="D63">
        <v>5</v>
      </c>
      <c r="E63" s="2">
        <f t="shared" si="14"/>
        <v>0.2</v>
      </c>
      <c r="F63" t="s">
        <v>18</v>
      </c>
      <c r="G63" t="str">
        <f t="shared" si="15"/>
        <v>20250213-Hospital 2</v>
      </c>
      <c r="H63">
        <f>IF(COUNTIF($G$2:G63,G63)=1,C63,0)</f>
        <v>0</v>
      </c>
    </row>
    <row r="64" spans="1:8" x14ac:dyDescent="0.3">
      <c r="A64" s="1">
        <v>45701</v>
      </c>
      <c r="B64" s="1" t="s">
        <v>9</v>
      </c>
      <c r="C64">
        <v>25</v>
      </c>
      <c r="D64">
        <v>5</v>
      </c>
      <c r="E64" s="2">
        <f t="shared" si="14"/>
        <v>0.2</v>
      </c>
      <c r="F64" t="s">
        <v>17</v>
      </c>
      <c r="G64" t="str">
        <f t="shared" si="15"/>
        <v>20250213-Hospital 2</v>
      </c>
      <c r="H64">
        <f>IF(COUNTIF($G$2:G64,G64)=1,C64,0)</f>
        <v>0</v>
      </c>
    </row>
    <row r="65" spans="1:8" x14ac:dyDescent="0.3">
      <c r="A65" s="1">
        <v>45701</v>
      </c>
      <c r="B65" s="1" t="s">
        <v>9</v>
      </c>
      <c r="C65">
        <v>25</v>
      </c>
      <c r="D65">
        <v>5</v>
      </c>
      <c r="E65" s="2">
        <f t="shared" si="14"/>
        <v>0.2</v>
      </c>
      <c r="F65" t="s">
        <v>17</v>
      </c>
      <c r="G65" t="str">
        <f t="shared" si="15"/>
        <v>20250213-Hospital 2</v>
      </c>
      <c r="H65">
        <f>IF(COUNTIF($G$2:G65,G65)=1,C65,0)</f>
        <v>0</v>
      </c>
    </row>
    <row r="66" spans="1:8" x14ac:dyDescent="0.3">
      <c r="A66" s="1">
        <v>45705</v>
      </c>
      <c r="B66" s="1" t="s">
        <v>12</v>
      </c>
      <c r="C66">
        <v>30</v>
      </c>
      <c r="D66">
        <v>13</v>
      </c>
      <c r="E66" s="2">
        <f t="shared" si="14"/>
        <v>0.43333333333333335</v>
      </c>
      <c r="F66" t="s">
        <v>22</v>
      </c>
      <c r="G66" t="str">
        <f t="shared" si="15"/>
        <v>20250217-Hospital 5</v>
      </c>
      <c r="H66">
        <f>IF(COUNTIF($G$2:G66,G66)=1,C66,0)</f>
        <v>30</v>
      </c>
    </row>
    <row r="67" spans="1:8" x14ac:dyDescent="0.3">
      <c r="A67" s="1">
        <v>45705</v>
      </c>
      <c r="B67" s="1" t="s">
        <v>12</v>
      </c>
      <c r="C67">
        <v>30</v>
      </c>
      <c r="D67">
        <v>13</v>
      </c>
      <c r="E67" s="2">
        <f t="shared" ref="E67:E79" si="16">IF(C67=0, 0, D67/C67)</f>
        <v>0.43333333333333335</v>
      </c>
      <c r="F67" t="s">
        <v>25</v>
      </c>
      <c r="G67" t="str">
        <f t="shared" ref="G67:G79" si="17">TEXT(A67,"yyyymmdd") &amp; "-" &amp; B67</f>
        <v>20250217-Hospital 5</v>
      </c>
      <c r="H67">
        <f>IF(COUNTIF($G$2:G67,G67)=1,C67,0)</f>
        <v>0</v>
      </c>
    </row>
    <row r="68" spans="1:8" x14ac:dyDescent="0.3">
      <c r="A68" s="1">
        <v>45705</v>
      </c>
      <c r="B68" s="1" t="s">
        <v>12</v>
      </c>
      <c r="C68">
        <v>30</v>
      </c>
      <c r="D68">
        <v>13</v>
      </c>
      <c r="E68" s="2">
        <f t="shared" si="16"/>
        <v>0.43333333333333335</v>
      </c>
      <c r="F68" t="s">
        <v>26</v>
      </c>
      <c r="G68" t="str">
        <f t="shared" si="17"/>
        <v>20250217-Hospital 5</v>
      </c>
      <c r="H68">
        <f>IF(COUNTIF($G$2:G68,G68)=1,C68,0)</f>
        <v>0</v>
      </c>
    </row>
    <row r="69" spans="1:8" x14ac:dyDescent="0.3">
      <c r="A69" s="1">
        <v>45705</v>
      </c>
      <c r="B69" s="1" t="s">
        <v>12</v>
      </c>
      <c r="C69">
        <v>30</v>
      </c>
      <c r="D69">
        <v>13</v>
      </c>
      <c r="E69" s="2">
        <f t="shared" si="16"/>
        <v>0.43333333333333335</v>
      </c>
      <c r="F69" t="s">
        <v>19</v>
      </c>
      <c r="G69" t="str">
        <f t="shared" si="17"/>
        <v>20250217-Hospital 5</v>
      </c>
      <c r="H69">
        <f>IF(COUNTIF($G$2:G69,G69)=1,C69,0)</f>
        <v>0</v>
      </c>
    </row>
    <row r="70" spans="1:8" x14ac:dyDescent="0.3">
      <c r="A70" s="1">
        <v>45705</v>
      </c>
      <c r="B70" s="1" t="s">
        <v>12</v>
      </c>
      <c r="C70">
        <v>30</v>
      </c>
      <c r="D70">
        <v>13</v>
      </c>
      <c r="E70" s="2">
        <f t="shared" si="16"/>
        <v>0.43333333333333335</v>
      </c>
      <c r="F70" t="s">
        <v>18</v>
      </c>
      <c r="G70" t="str">
        <f t="shared" si="17"/>
        <v>20250217-Hospital 5</v>
      </c>
      <c r="H70">
        <f>IF(COUNTIF($G$2:G70,G70)=1,C70,0)</f>
        <v>0</v>
      </c>
    </row>
    <row r="71" spans="1:8" x14ac:dyDescent="0.3">
      <c r="A71" s="1">
        <v>45705</v>
      </c>
      <c r="B71" s="1" t="s">
        <v>12</v>
      </c>
      <c r="C71">
        <v>30</v>
      </c>
      <c r="D71">
        <v>13</v>
      </c>
      <c r="E71" s="2">
        <f t="shared" si="16"/>
        <v>0.43333333333333335</v>
      </c>
      <c r="F71" t="s">
        <v>18</v>
      </c>
      <c r="G71" t="str">
        <f t="shared" si="17"/>
        <v>20250217-Hospital 5</v>
      </c>
      <c r="H71">
        <f>IF(COUNTIF($G$2:G71,G71)=1,C71,0)</f>
        <v>0</v>
      </c>
    </row>
    <row r="72" spans="1:8" x14ac:dyDescent="0.3">
      <c r="A72" s="1">
        <v>45705</v>
      </c>
      <c r="B72" s="1" t="s">
        <v>12</v>
      </c>
      <c r="C72">
        <v>30</v>
      </c>
      <c r="D72">
        <v>13</v>
      </c>
      <c r="E72" s="2">
        <f t="shared" si="16"/>
        <v>0.43333333333333335</v>
      </c>
      <c r="F72" t="s">
        <v>18</v>
      </c>
      <c r="G72" t="str">
        <f t="shared" si="17"/>
        <v>20250217-Hospital 5</v>
      </c>
      <c r="H72">
        <f>IF(COUNTIF($G$2:G72,G72)=1,C72,0)</f>
        <v>0</v>
      </c>
    </row>
    <row r="73" spans="1:8" x14ac:dyDescent="0.3">
      <c r="A73" s="1">
        <v>45705</v>
      </c>
      <c r="B73" s="1" t="s">
        <v>12</v>
      </c>
      <c r="C73">
        <v>30</v>
      </c>
      <c r="D73">
        <v>13</v>
      </c>
      <c r="E73" s="2">
        <f t="shared" si="16"/>
        <v>0.43333333333333335</v>
      </c>
      <c r="F73" t="s">
        <v>18</v>
      </c>
      <c r="G73" t="str">
        <f t="shared" si="17"/>
        <v>20250217-Hospital 5</v>
      </c>
      <c r="H73">
        <f>IF(COUNTIF($G$2:G73,G73)=1,C73,0)</f>
        <v>0</v>
      </c>
    </row>
    <row r="74" spans="1:8" x14ac:dyDescent="0.3">
      <c r="A74" s="1">
        <v>45705</v>
      </c>
      <c r="B74" s="1" t="s">
        <v>12</v>
      </c>
      <c r="C74">
        <v>30</v>
      </c>
      <c r="D74">
        <v>13</v>
      </c>
      <c r="E74" s="2">
        <f t="shared" si="16"/>
        <v>0.43333333333333335</v>
      </c>
      <c r="F74" t="s">
        <v>17</v>
      </c>
      <c r="G74" t="str">
        <f t="shared" si="17"/>
        <v>20250217-Hospital 5</v>
      </c>
      <c r="H74">
        <f>IF(COUNTIF($G$2:G74,G74)=1,C74,0)</f>
        <v>0</v>
      </c>
    </row>
    <row r="75" spans="1:8" x14ac:dyDescent="0.3">
      <c r="A75" s="1">
        <v>45705</v>
      </c>
      <c r="B75" s="1" t="s">
        <v>12</v>
      </c>
      <c r="C75">
        <v>30</v>
      </c>
      <c r="D75">
        <v>13</v>
      </c>
      <c r="E75" s="2">
        <f t="shared" si="16"/>
        <v>0.43333333333333335</v>
      </c>
      <c r="F75" t="s">
        <v>17</v>
      </c>
      <c r="G75" t="str">
        <f t="shared" si="17"/>
        <v>20250217-Hospital 5</v>
      </c>
      <c r="H75">
        <f>IF(COUNTIF($G$2:G75,G75)=1,C75,0)</f>
        <v>0</v>
      </c>
    </row>
    <row r="76" spans="1:8" x14ac:dyDescent="0.3">
      <c r="A76" s="1">
        <v>45705</v>
      </c>
      <c r="B76" s="1" t="s">
        <v>12</v>
      </c>
      <c r="C76">
        <v>30</v>
      </c>
      <c r="D76">
        <v>13</v>
      </c>
      <c r="E76" s="2">
        <f t="shared" si="16"/>
        <v>0.43333333333333335</v>
      </c>
      <c r="F76" t="s">
        <v>17</v>
      </c>
      <c r="G76" t="str">
        <f t="shared" si="17"/>
        <v>20250217-Hospital 5</v>
      </c>
      <c r="H76">
        <f>IF(COUNTIF($G$2:G76,G76)=1,C76,0)</f>
        <v>0</v>
      </c>
    </row>
    <row r="77" spans="1:8" x14ac:dyDescent="0.3">
      <c r="A77" s="1">
        <v>45705</v>
      </c>
      <c r="B77" s="1" t="s">
        <v>12</v>
      </c>
      <c r="C77">
        <v>30</v>
      </c>
      <c r="D77">
        <v>13</v>
      </c>
      <c r="E77" s="2">
        <f t="shared" si="16"/>
        <v>0.43333333333333335</v>
      </c>
      <c r="F77" t="s">
        <v>17</v>
      </c>
      <c r="G77" t="str">
        <f t="shared" si="17"/>
        <v>20250217-Hospital 5</v>
      </c>
      <c r="H77">
        <f>IF(COUNTIF($G$2:G77,G77)=1,C77,0)</f>
        <v>0</v>
      </c>
    </row>
    <row r="78" spans="1:8" x14ac:dyDescent="0.3">
      <c r="A78" s="1">
        <v>45705</v>
      </c>
      <c r="B78" s="1" t="s">
        <v>12</v>
      </c>
      <c r="C78">
        <v>30</v>
      </c>
      <c r="D78">
        <v>13</v>
      </c>
      <c r="E78" s="2">
        <f t="shared" si="16"/>
        <v>0.43333333333333335</v>
      </c>
      <c r="F78" t="s">
        <v>17</v>
      </c>
      <c r="G78" t="str">
        <f t="shared" si="17"/>
        <v>20250217-Hospital 5</v>
      </c>
      <c r="H78">
        <f>IF(COUNTIF($G$2:G78,G78)=1,C78,0)</f>
        <v>0</v>
      </c>
    </row>
    <row r="79" spans="1:8" x14ac:dyDescent="0.3">
      <c r="A79" s="1">
        <v>45719</v>
      </c>
      <c r="B79" s="1" t="s">
        <v>10</v>
      </c>
      <c r="C79">
        <v>25</v>
      </c>
      <c r="D79">
        <v>9</v>
      </c>
      <c r="E79" s="2">
        <f t="shared" si="16"/>
        <v>0.36</v>
      </c>
      <c r="F79" t="s">
        <v>18</v>
      </c>
      <c r="G79" t="str">
        <f t="shared" si="17"/>
        <v>20250303-Hospital 3</v>
      </c>
      <c r="H79">
        <f>IF(COUNTIF($G$2:G79,G79)=1,C79,0)</f>
        <v>25</v>
      </c>
    </row>
    <row r="80" spans="1:8" x14ac:dyDescent="0.3">
      <c r="A80" s="1">
        <v>45719</v>
      </c>
      <c r="B80" s="1" t="s">
        <v>10</v>
      </c>
      <c r="C80">
        <v>25</v>
      </c>
      <c r="D80">
        <v>9</v>
      </c>
      <c r="E80" s="2">
        <f t="shared" ref="E80:E88" si="18">IF(C80=0, 0, D80/C80)</f>
        <v>0.36</v>
      </c>
      <c r="F80" t="s">
        <v>18</v>
      </c>
      <c r="G80" t="str">
        <f t="shared" ref="G80:G88" si="19">TEXT(A80,"yyyymmdd") &amp; "-" &amp; B80</f>
        <v>20250303-Hospital 3</v>
      </c>
      <c r="H80">
        <f>IF(COUNTIF($G$2:G80,G80)=1,C80,0)</f>
        <v>0</v>
      </c>
    </row>
    <row r="81" spans="1:8" x14ac:dyDescent="0.3">
      <c r="A81" s="1">
        <v>45719</v>
      </c>
      <c r="B81" s="1" t="s">
        <v>10</v>
      </c>
      <c r="C81">
        <v>25</v>
      </c>
      <c r="D81">
        <v>9</v>
      </c>
      <c r="E81" s="2">
        <f t="shared" si="18"/>
        <v>0.36</v>
      </c>
      <c r="F81" t="s">
        <v>18</v>
      </c>
      <c r="G81" t="str">
        <f t="shared" si="19"/>
        <v>20250303-Hospital 3</v>
      </c>
      <c r="H81">
        <f>IF(COUNTIF($G$2:G81,G81)=1,C81,0)</f>
        <v>0</v>
      </c>
    </row>
    <row r="82" spans="1:8" x14ac:dyDescent="0.3">
      <c r="A82" s="1">
        <v>45719</v>
      </c>
      <c r="B82" s="1" t="s">
        <v>10</v>
      </c>
      <c r="C82">
        <v>25</v>
      </c>
      <c r="D82">
        <v>9</v>
      </c>
      <c r="E82" s="2">
        <f t="shared" si="18"/>
        <v>0.36</v>
      </c>
      <c r="F82" t="s">
        <v>18</v>
      </c>
      <c r="G82" t="str">
        <f t="shared" si="19"/>
        <v>20250303-Hospital 3</v>
      </c>
      <c r="H82">
        <f>IF(COUNTIF($G$2:G82,G82)=1,C82,0)</f>
        <v>0</v>
      </c>
    </row>
    <row r="83" spans="1:8" x14ac:dyDescent="0.3">
      <c r="A83" s="1">
        <v>45719</v>
      </c>
      <c r="B83" s="1" t="s">
        <v>10</v>
      </c>
      <c r="C83">
        <v>25</v>
      </c>
      <c r="D83">
        <v>9</v>
      </c>
      <c r="E83" s="2">
        <f t="shared" si="18"/>
        <v>0.36</v>
      </c>
      <c r="F83" t="s">
        <v>22</v>
      </c>
      <c r="G83" t="str">
        <f t="shared" si="19"/>
        <v>20250303-Hospital 3</v>
      </c>
      <c r="H83">
        <f>IF(COUNTIF($G$2:G83,G83)=1,C83,0)</f>
        <v>0</v>
      </c>
    </row>
    <row r="84" spans="1:8" x14ac:dyDescent="0.3">
      <c r="A84" s="1">
        <v>45719</v>
      </c>
      <c r="B84" s="1" t="s">
        <v>10</v>
      </c>
      <c r="C84">
        <v>25</v>
      </c>
      <c r="D84">
        <v>9</v>
      </c>
      <c r="E84" s="2">
        <f t="shared" si="18"/>
        <v>0.36</v>
      </c>
      <c r="F84" t="s">
        <v>20</v>
      </c>
      <c r="G84" t="str">
        <f t="shared" si="19"/>
        <v>20250303-Hospital 3</v>
      </c>
      <c r="H84">
        <f>IF(COUNTIF($G$2:G84,G84)=1,C84,0)</f>
        <v>0</v>
      </c>
    </row>
    <row r="85" spans="1:8" x14ac:dyDescent="0.3">
      <c r="A85" s="1">
        <v>45719</v>
      </c>
      <c r="B85" s="1" t="s">
        <v>10</v>
      </c>
      <c r="C85">
        <v>25</v>
      </c>
      <c r="D85">
        <v>9</v>
      </c>
      <c r="E85" s="2">
        <f t="shared" si="18"/>
        <v>0.36</v>
      </c>
      <c r="F85" t="s">
        <v>17</v>
      </c>
      <c r="G85" t="str">
        <f t="shared" si="19"/>
        <v>20250303-Hospital 3</v>
      </c>
      <c r="H85">
        <f>IF(COUNTIF($G$2:G85,G85)=1,C85,0)</f>
        <v>0</v>
      </c>
    </row>
    <row r="86" spans="1:8" x14ac:dyDescent="0.3">
      <c r="A86" s="1">
        <v>45719</v>
      </c>
      <c r="B86" s="1" t="s">
        <v>10</v>
      </c>
      <c r="C86">
        <v>25</v>
      </c>
      <c r="D86">
        <v>9</v>
      </c>
      <c r="E86" s="2">
        <f t="shared" si="18"/>
        <v>0.36</v>
      </c>
      <c r="F86" t="s">
        <v>17</v>
      </c>
      <c r="G86" t="str">
        <f t="shared" si="19"/>
        <v>20250303-Hospital 3</v>
      </c>
      <c r="H86">
        <f>IF(COUNTIF($G$2:G86,G86)=1,C86,0)</f>
        <v>0</v>
      </c>
    </row>
    <row r="87" spans="1:8" x14ac:dyDescent="0.3">
      <c r="A87" s="1">
        <v>45719</v>
      </c>
      <c r="B87" s="1" t="s">
        <v>10</v>
      </c>
      <c r="C87">
        <v>25</v>
      </c>
      <c r="D87">
        <v>9</v>
      </c>
      <c r="E87" s="2">
        <f t="shared" si="18"/>
        <v>0.36</v>
      </c>
      <c r="F87" t="s">
        <v>25</v>
      </c>
      <c r="G87" t="str">
        <f t="shared" si="19"/>
        <v>20250303-Hospital 3</v>
      </c>
      <c r="H87">
        <f>IF(COUNTIF($G$2:G87,G87)=1,C87,0)</f>
        <v>0</v>
      </c>
    </row>
    <row r="88" spans="1:8" x14ac:dyDescent="0.3">
      <c r="A88" s="1">
        <v>45727</v>
      </c>
      <c r="B88" s="1" t="s">
        <v>12</v>
      </c>
      <c r="C88">
        <v>29</v>
      </c>
      <c r="D88">
        <v>9</v>
      </c>
      <c r="E88" s="2">
        <f t="shared" si="18"/>
        <v>0.31034482758620691</v>
      </c>
      <c r="F88" t="s">
        <v>18</v>
      </c>
      <c r="G88" t="str">
        <f t="shared" si="19"/>
        <v>20250311-Hospital 5</v>
      </c>
      <c r="H88">
        <f>IF(COUNTIF($G$2:G88,G88)=1,C88,0)</f>
        <v>29</v>
      </c>
    </row>
    <row r="89" spans="1:8" x14ac:dyDescent="0.3">
      <c r="A89" s="1">
        <v>45727</v>
      </c>
      <c r="B89" s="1" t="s">
        <v>12</v>
      </c>
      <c r="C89">
        <v>29</v>
      </c>
      <c r="D89">
        <v>9</v>
      </c>
      <c r="E89" s="2">
        <f t="shared" ref="E89:E97" si="20">IF(C89=0, 0, D89/C89)</f>
        <v>0.31034482758620691</v>
      </c>
      <c r="F89" t="s">
        <v>18</v>
      </c>
      <c r="G89" t="str">
        <f t="shared" ref="G89:G97" si="21">TEXT(A89,"yyyymmdd") &amp; "-" &amp; B89</f>
        <v>20250311-Hospital 5</v>
      </c>
      <c r="H89">
        <f>IF(COUNTIF($G$2:G89,G89)=1,C89,0)</f>
        <v>0</v>
      </c>
    </row>
    <row r="90" spans="1:8" x14ac:dyDescent="0.3">
      <c r="A90" s="1">
        <v>45727</v>
      </c>
      <c r="B90" s="1" t="s">
        <v>12</v>
      </c>
      <c r="C90">
        <v>29</v>
      </c>
      <c r="D90">
        <v>9</v>
      </c>
      <c r="E90" s="2">
        <f t="shared" si="20"/>
        <v>0.31034482758620691</v>
      </c>
      <c r="F90" t="s">
        <v>18</v>
      </c>
      <c r="G90" t="str">
        <f t="shared" si="21"/>
        <v>20250311-Hospital 5</v>
      </c>
      <c r="H90">
        <f>IF(COUNTIF($G$2:G90,G90)=1,C90,0)</f>
        <v>0</v>
      </c>
    </row>
    <row r="91" spans="1:8" x14ac:dyDescent="0.3">
      <c r="A91" s="1">
        <v>45727</v>
      </c>
      <c r="B91" s="1" t="s">
        <v>12</v>
      </c>
      <c r="C91">
        <v>29</v>
      </c>
      <c r="D91">
        <v>9</v>
      </c>
      <c r="E91" s="2">
        <f t="shared" si="20"/>
        <v>0.31034482758620691</v>
      </c>
      <c r="F91" t="s">
        <v>22</v>
      </c>
      <c r="G91" t="str">
        <f t="shared" si="21"/>
        <v>20250311-Hospital 5</v>
      </c>
      <c r="H91">
        <f>IF(COUNTIF($G$2:G91,G91)=1,C91,0)</f>
        <v>0</v>
      </c>
    </row>
    <row r="92" spans="1:8" x14ac:dyDescent="0.3">
      <c r="A92" s="1">
        <v>45727</v>
      </c>
      <c r="B92" s="1" t="s">
        <v>12</v>
      </c>
      <c r="C92">
        <v>29</v>
      </c>
      <c r="D92">
        <v>9</v>
      </c>
      <c r="E92" s="2">
        <f t="shared" si="20"/>
        <v>0.31034482758620691</v>
      </c>
      <c r="F92" t="s">
        <v>21</v>
      </c>
      <c r="G92" t="str">
        <f t="shared" si="21"/>
        <v>20250311-Hospital 5</v>
      </c>
      <c r="H92">
        <f>IF(COUNTIF($G$2:G92,G92)=1,C92,0)</f>
        <v>0</v>
      </c>
    </row>
    <row r="93" spans="1:8" x14ac:dyDescent="0.3">
      <c r="A93" s="1">
        <v>45727</v>
      </c>
      <c r="B93" s="1" t="s">
        <v>12</v>
      </c>
      <c r="C93">
        <v>29</v>
      </c>
      <c r="D93">
        <v>9</v>
      </c>
      <c r="E93" s="2">
        <f t="shared" si="20"/>
        <v>0.31034482758620691</v>
      </c>
      <c r="F93" t="s">
        <v>21</v>
      </c>
      <c r="G93" t="str">
        <f t="shared" si="21"/>
        <v>20250311-Hospital 5</v>
      </c>
      <c r="H93">
        <f>IF(COUNTIF($G$2:G93,G93)=1,C93,0)</f>
        <v>0</v>
      </c>
    </row>
    <row r="94" spans="1:8" x14ac:dyDescent="0.3">
      <c r="A94" s="1">
        <v>45727</v>
      </c>
      <c r="B94" s="1" t="s">
        <v>12</v>
      </c>
      <c r="C94">
        <v>29</v>
      </c>
      <c r="D94">
        <v>9</v>
      </c>
      <c r="E94" s="2">
        <f t="shared" si="20"/>
        <v>0.31034482758620691</v>
      </c>
      <c r="F94" t="s">
        <v>17</v>
      </c>
      <c r="G94" t="str">
        <f t="shared" si="21"/>
        <v>20250311-Hospital 5</v>
      </c>
      <c r="H94">
        <f>IF(COUNTIF($G$2:G94,G94)=1,C94,0)</f>
        <v>0</v>
      </c>
    </row>
    <row r="95" spans="1:8" x14ac:dyDescent="0.3">
      <c r="A95" s="1">
        <v>45727</v>
      </c>
      <c r="B95" s="1" t="s">
        <v>12</v>
      </c>
      <c r="C95">
        <v>29</v>
      </c>
      <c r="D95">
        <v>9</v>
      </c>
      <c r="E95" s="2">
        <f t="shared" si="20"/>
        <v>0.31034482758620691</v>
      </c>
      <c r="F95" t="s">
        <v>17</v>
      </c>
      <c r="G95" t="str">
        <f t="shared" si="21"/>
        <v>20250311-Hospital 5</v>
      </c>
      <c r="H95">
        <f>IF(COUNTIF($G$2:G95,G95)=1,C95,0)</f>
        <v>0</v>
      </c>
    </row>
    <row r="96" spans="1:8" x14ac:dyDescent="0.3">
      <c r="A96" s="1">
        <v>45727</v>
      </c>
      <c r="B96" s="1" t="s">
        <v>12</v>
      </c>
      <c r="C96">
        <v>29</v>
      </c>
      <c r="D96">
        <v>9</v>
      </c>
      <c r="E96" s="2">
        <f t="shared" si="20"/>
        <v>0.31034482758620691</v>
      </c>
      <c r="F96" t="s">
        <v>17</v>
      </c>
      <c r="G96" t="str">
        <f t="shared" si="21"/>
        <v>20250311-Hospital 5</v>
      </c>
      <c r="H96">
        <f>IF(COUNTIF($G$2:G96,G96)=1,C96,0)</f>
        <v>0</v>
      </c>
    </row>
    <row r="97" spans="1:8" x14ac:dyDescent="0.3">
      <c r="A97" s="1">
        <v>45733</v>
      </c>
      <c r="B97" s="1" t="s">
        <v>13</v>
      </c>
      <c r="C97">
        <v>14</v>
      </c>
      <c r="D97">
        <v>3</v>
      </c>
      <c r="E97" s="2">
        <f t="shared" si="20"/>
        <v>0.21428571428571427</v>
      </c>
      <c r="F97" t="s">
        <v>18</v>
      </c>
      <c r="G97" t="str">
        <f t="shared" si="21"/>
        <v>20250317-Hospital 6</v>
      </c>
      <c r="H97">
        <f>IF(COUNTIF($G$2:G97,G97)=1,C97,0)</f>
        <v>14</v>
      </c>
    </row>
    <row r="98" spans="1:8" x14ac:dyDescent="0.3">
      <c r="A98" s="1">
        <v>45733</v>
      </c>
      <c r="B98" s="1" t="s">
        <v>13</v>
      </c>
      <c r="C98">
        <v>14</v>
      </c>
      <c r="D98">
        <v>3</v>
      </c>
      <c r="E98" s="2">
        <f t="shared" ref="E98:E100" si="22">IF(C98=0, 0, D98/C98)</f>
        <v>0.21428571428571427</v>
      </c>
      <c r="F98" t="s">
        <v>18</v>
      </c>
      <c r="G98" t="str">
        <f t="shared" ref="G98:G100" si="23">TEXT(A98,"yyyymmdd") &amp; "-" &amp; B98</f>
        <v>20250317-Hospital 6</v>
      </c>
      <c r="H98">
        <f>IF(COUNTIF($G$2:G98,G98)=1,C98,0)</f>
        <v>0</v>
      </c>
    </row>
    <row r="99" spans="1:8" x14ac:dyDescent="0.3">
      <c r="A99" s="1">
        <v>45733</v>
      </c>
      <c r="B99" s="1" t="s">
        <v>13</v>
      </c>
      <c r="C99">
        <v>14</v>
      </c>
      <c r="D99">
        <v>3</v>
      </c>
      <c r="E99" s="2">
        <f t="shared" si="22"/>
        <v>0.21428571428571427</v>
      </c>
      <c r="F99" t="s">
        <v>23</v>
      </c>
      <c r="G99" t="str">
        <f t="shared" si="23"/>
        <v>20250317-Hospital 6</v>
      </c>
      <c r="H99">
        <f>IF(COUNTIF($G$2:G99,G99)=1,C99,0)</f>
        <v>0</v>
      </c>
    </row>
    <row r="100" spans="1:8" x14ac:dyDescent="0.3">
      <c r="A100" s="1">
        <v>45750</v>
      </c>
      <c r="B100" s="1" t="s">
        <v>14</v>
      </c>
      <c r="C100">
        <v>34</v>
      </c>
      <c r="D100">
        <v>18</v>
      </c>
      <c r="E100" s="2">
        <f t="shared" si="22"/>
        <v>0.52941176470588236</v>
      </c>
      <c r="F100" t="s">
        <v>17</v>
      </c>
      <c r="G100" t="str">
        <f t="shared" si="23"/>
        <v>20250403-Hospital 7</v>
      </c>
      <c r="H100">
        <f>IF(COUNTIF($G$2:G100,G100)=1,C100,0)</f>
        <v>34</v>
      </c>
    </row>
    <row r="101" spans="1:8" x14ac:dyDescent="0.3">
      <c r="A101" s="1">
        <v>45750</v>
      </c>
      <c r="B101" s="1" t="s">
        <v>14</v>
      </c>
      <c r="C101">
        <v>34</v>
      </c>
      <c r="D101">
        <v>18</v>
      </c>
      <c r="E101" s="2">
        <f t="shared" ref="E101:E118" si="24">IF(C101=0, 0, D101/C101)</f>
        <v>0.52941176470588236</v>
      </c>
      <c r="F101" t="s">
        <v>17</v>
      </c>
      <c r="G101" t="str">
        <f t="shared" ref="G101:G118" si="25">TEXT(A101,"yyyymmdd") &amp; "-" &amp; B101</f>
        <v>20250403-Hospital 7</v>
      </c>
      <c r="H101">
        <f>IF(COUNTIF($G$2:G101,G101)=1,C101,0)</f>
        <v>0</v>
      </c>
    </row>
    <row r="102" spans="1:8" x14ac:dyDescent="0.3">
      <c r="A102" s="1">
        <v>45750</v>
      </c>
      <c r="B102" s="1" t="s">
        <v>14</v>
      </c>
      <c r="C102">
        <v>34</v>
      </c>
      <c r="D102">
        <v>18</v>
      </c>
      <c r="E102" s="2">
        <f t="shared" si="24"/>
        <v>0.52941176470588236</v>
      </c>
      <c r="F102" t="s">
        <v>17</v>
      </c>
      <c r="G102" t="str">
        <f t="shared" si="25"/>
        <v>20250403-Hospital 7</v>
      </c>
      <c r="H102">
        <f>IF(COUNTIF($G$2:G102,G102)=1,C102,0)</f>
        <v>0</v>
      </c>
    </row>
    <row r="103" spans="1:8" x14ac:dyDescent="0.3">
      <c r="A103" s="1">
        <v>45750</v>
      </c>
      <c r="B103" s="1" t="s">
        <v>14</v>
      </c>
      <c r="C103">
        <v>34</v>
      </c>
      <c r="D103">
        <v>18</v>
      </c>
      <c r="E103" s="2">
        <f t="shared" si="24"/>
        <v>0.52941176470588236</v>
      </c>
      <c r="F103" t="s">
        <v>17</v>
      </c>
      <c r="G103" t="str">
        <f t="shared" si="25"/>
        <v>20250403-Hospital 7</v>
      </c>
      <c r="H103">
        <f>IF(COUNTIF($G$2:G103,G103)=1,C103,0)</f>
        <v>0</v>
      </c>
    </row>
    <row r="104" spans="1:8" x14ac:dyDescent="0.3">
      <c r="A104" s="1">
        <v>45750</v>
      </c>
      <c r="B104" s="1" t="s">
        <v>14</v>
      </c>
      <c r="C104">
        <v>34</v>
      </c>
      <c r="D104">
        <v>18</v>
      </c>
      <c r="E104" s="2">
        <f t="shared" si="24"/>
        <v>0.52941176470588236</v>
      </c>
      <c r="F104" t="s">
        <v>17</v>
      </c>
      <c r="G104" t="str">
        <f t="shared" si="25"/>
        <v>20250403-Hospital 7</v>
      </c>
      <c r="H104">
        <f>IF(COUNTIF($G$2:G104,G104)=1,C104,0)</f>
        <v>0</v>
      </c>
    </row>
    <row r="105" spans="1:8" x14ac:dyDescent="0.3">
      <c r="A105" s="1">
        <v>45750</v>
      </c>
      <c r="B105" s="1" t="s">
        <v>14</v>
      </c>
      <c r="C105">
        <v>34</v>
      </c>
      <c r="D105">
        <v>18</v>
      </c>
      <c r="E105" s="2">
        <f t="shared" si="24"/>
        <v>0.52941176470588236</v>
      </c>
      <c r="F105" t="s">
        <v>17</v>
      </c>
      <c r="G105" t="str">
        <f t="shared" si="25"/>
        <v>20250403-Hospital 7</v>
      </c>
      <c r="H105">
        <f>IF(COUNTIF($G$2:G105,G105)=1,C105,0)</f>
        <v>0</v>
      </c>
    </row>
    <row r="106" spans="1:8" x14ac:dyDescent="0.3">
      <c r="A106" s="1">
        <v>45750</v>
      </c>
      <c r="B106" s="1" t="s">
        <v>14</v>
      </c>
      <c r="C106">
        <v>34</v>
      </c>
      <c r="D106">
        <v>18</v>
      </c>
      <c r="E106" s="2">
        <f t="shared" si="24"/>
        <v>0.52941176470588236</v>
      </c>
      <c r="F106" t="s">
        <v>19</v>
      </c>
      <c r="G106" t="str">
        <f t="shared" si="25"/>
        <v>20250403-Hospital 7</v>
      </c>
      <c r="H106">
        <f>IF(COUNTIF($G$2:G106,G106)=1,C106,0)</f>
        <v>0</v>
      </c>
    </row>
    <row r="107" spans="1:8" x14ac:dyDescent="0.3">
      <c r="A107" s="1">
        <v>45750</v>
      </c>
      <c r="B107" s="1" t="s">
        <v>14</v>
      </c>
      <c r="C107">
        <v>34</v>
      </c>
      <c r="D107">
        <v>18</v>
      </c>
      <c r="E107" s="2">
        <f t="shared" si="24"/>
        <v>0.52941176470588236</v>
      </c>
      <c r="F107" t="s">
        <v>21</v>
      </c>
      <c r="G107" t="str">
        <f t="shared" si="25"/>
        <v>20250403-Hospital 7</v>
      </c>
      <c r="H107">
        <f>IF(COUNTIF($G$2:G107,G107)=1,C107,0)</f>
        <v>0</v>
      </c>
    </row>
    <row r="108" spans="1:8" x14ac:dyDescent="0.3">
      <c r="A108" s="1">
        <v>45750</v>
      </c>
      <c r="B108" s="1" t="s">
        <v>14</v>
      </c>
      <c r="C108">
        <v>34</v>
      </c>
      <c r="D108">
        <v>18</v>
      </c>
      <c r="E108" s="2">
        <f t="shared" si="24"/>
        <v>0.52941176470588236</v>
      </c>
      <c r="F108" t="s">
        <v>22</v>
      </c>
      <c r="G108" t="str">
        <f t="shared" si="25"/>
        <v>20250403-Hospital 7</v>
      </c>
      <c r="H108">
        <f>IF(COUNTIF($G$2:G108,G108)=1,C108,0)</f>
        <v>0</v>
      </c>
    </row>
    <row r="109" spans="1:8" x14ac:dyDescent="0.3">
      <c r="A109" s="1">
        <v>45750</v>
      </c>
      <c r="B109" s="1" t="s">
        <v>14</v>
      </c>
      <c r="C109">
        <v>34</v>
      </c>
      <c r="D109">
        <v>18</v>
      </c>
      <c r="E109" s="2">
        <f t="shared" si="24"/>
        <v>0.52941176470588236</v>
      </c>
      <c r="F109" t="s">
        <v>22</v>
      </c>
      <c r="G109" t="str">
        <f t="shared" si="25"/>
        <v>20250403-Hospital 7</v>
      </c>
      <c r="H109">
        <f>IF(COUNTIF($G$2:G109,G109)=1,C109,0)</f>
        <v>0</v>
      </c>
    </row>
    <row r="110" spans="1:8" x14ac:dyDescent="0.3">
      <c r="A110" s="1">
        <v>45750</v>
      </c>
      <c r="B110" s="1" t="s">
        <v>14</v>
      </c>
      <c r="C110">
        <v>34</v>
      </c>
      <c r="D110">
        <v>18</v>
      </c>
      <c r="E110" s="2">
        <f t="shared" si="24"/>
        <v>0.52941176470588236</v>
      </c>
      <c r="F110" t="s">
        <v>18</v>
      </c>
      <c r="G110" t="str">
        <f t="shared" si="25"/>
        <v>20250403-Hospital 7</v>
      </c>
      <c r="H110">
        <f>IF(COUNTIF($G$2:G110,G110)=1,C110,0)</f>
        <v>0</v>
      </c>
    </row>
    <row r="111" spans="1:8" x14ac:dyDescent="0.3">
      <c r="A111" s="1">
        <v>45750</v>
      </c>
      <c r="B111" s="1" t="s">
        <v>14</v>
      </c>
      <c r="C111">
        <v>34</v>
      </c>
      <c r="D111">
        <v>18</v>
      </c>
      <c r="E111" s="2">
        <f t="shared" si="24"/>
        <v>0.52941176470588236</v>
      </c>
      <c r="F111" t="s">
        <v>18</v>
      </c>
      <c r="G111" t="str">
        <f t="shared" si="25"/>
        <v>20250403-Hospital 7</v>
      </c>
      <c r="H111">
        <f>IF(COUNTIF($G$2:G111,G111)=1,C111,0)</f>
        <v>0</v>
      </c>
    </row>
    <row r="112" spans="1:8" x14ac:dyDescent="0.3">
      <c r="A112" s="1">
        <v>45750</v>
      </c>
      <c r="B112" s="1" t="s">
        <v>14</v>
      </c>
      <c r="C112">
        <v>34</v>
      </c>
      <c r="D112">
        <v>18</v>
      </c>
      <c r="E112" s="2">
        <f t="shared" si="24"/>
        <v>0.52941176470588236</v>
      </c>
      <c r="F112" t="s">
        <v>18</v>
      </c>
      <c r="G112" t="str">
        <f t="shared" si="25"/>
        <v>20250403-Hospital 7</v>
      </c>
      <c r="H112">
        <f>IF(COUNTIF($G$2:G112,G112)=1,C112,0)</f>
        <v>0</v>
      </c>
    </row>
    <row r="113" spans="1:8" x14ac:dyDescent="0.3">
      <c r="A113" s="1">
        <v>45750</v>
      </c>
      <c r="B113" s="1" t="s">
        <v>14</v>
      </c>
      <c r="C113">
        <v>34</v>
      </c>
      <c r="D113">
        <v>18</v>
      </c>
      <c r="E113" s="2">
        <f t="shared" si="24"/>
        <v>0.52941176470588236</v>
      </c>
      <c r="F113" t="s">
        <v>18</v>
      </c>
      <c r="G113" t="str">
        <f t="shared" si="25"/>
        <v>20250403-Hospital 7</v>
      </c>
      <c r="H113">
        <f>IF(COUNTIF($G$2:G113,G113)=1,C113,0)</f>
        <v>0</v>
      </c>
    </row>
    <row r="114" spans="1:8" x14ac:dyDescent="0.3">
      <c r="A114" s="1">
        <v>45750</v>
      </c>
      <c r="B114" s="1" t="s">
        <v>14</v>
      </c>
      <c r="C114">
        <v>34</v>
      </c>
      <c r="D114">
        <v>18</v>
      </c>
      <c r="E114" s="2">
        <f t="shared" si="24"/>
        <v>0.52941176470588236</v>
      </c>
      <c r="F114" t="s">
        <v>18</v>
      </c>
      <c r="G114" t="str">
        <f t="shared" si="25"/>
        <v>20250403-Hospital 7</v>
      </c>
      <c r="H114">
        <f>IF(COUNTIF($G$2:G114,G114)=1,C114,0)</f>
        <v>0</v>
      </c>
    </row>
    <row r="115" spans="1:8" x14ac:dyDescent="0.3">
      <c r="A115" s="1">
        <v>45750</v>
      </c>
      <c r="B115" s="1" t="s">
        <v>14</v>
      </c>
      <c r="C115">
        <v>34</v>
      </c>
      <c r="D115">
        <v>18</v>
      </c>
      <c r="E115" s="2">
        <f t="shared" si="24"/>
        <v>0.52941176470588236</v>
      </c>
      <c r="F115" t="s">
        <v>20</v>
      </c>
      <c r="G115" t="str">
        <f t="shared" si="25"/>
        <v>20250403-Hospital 7</v>
      </c>
      <c r="H115">
        <f>IF(COUNTIF($G$2:G115,G115)=1,C115,0)</f>
        <v>0</v>
      </c>
    </row>
    <row r="116" spans="1:8" x14ac:dyDescent="0.3">
      <c r="A116" s="1">
        <v>45750</v>
      </c>
      <c r="B116" s="1" t="s">
        <v>14</v>
      </c>
      <c r="C116">
        <v>34</v>
      </c>
      <c r="D116">
        <v>18</v>
      </c>
      <c r="E116" s="2">
        <f t="shared" si="24"/>
        <v>0.52941176470588236</v>
      </c>
      <c r="F116" t="s">
        <v>24</v>
      </c>
      <c r="G116" t="str">
        <f t="shared" si="25"/>
        <v>20250403-Hospital 7</v>
      </c>
      <c r="H116">
        <f>IF(COUNTIF($G$2:G116,G116)=1,C116,0)</f>
        <v>0</v>
      </c>
    </row>
    <row r="117" spans="1:8" x14ac:dyDescent="0.3">
      <c r="A117" s="1">
        <v>45750</v>
      </c>
      <c r="B117" s="1" t="s">
        <v>14</v>
      </c>
      <c r="C117">
        <v>34</v>
      </c>
      <c r="D117">
        <v>18</v>
      </c>
      <c r="E117" s="2">
        <f t="shared" si="24"/>
        <v>0.52941176470588236</v>
      </c>
      <c r="F117" t="s">
        <v>19</v>
      </c>
      <c r="G117" t="str">
        <f t="shared" si="25"/>
        <v>20250403-Hospital 7</v>
      </c>
      <c r="H117">
        <f>IF(COUNTIF($G$2:G117,G117)=1,C117,0)</f>
        <v>0</v>
      </c>
    </row>
    <row r="118" spans="1:8" x14ac:dyDescent="0.3">
      <c r="A118" s="1">
        <v>45755</v>
      </c>
      <c r="B118" s="1" t="s">
        <v>15</v>
      </c>
      <c r="C118">
        <v>12</v>
      </c>
      <c r="D118">
        <v>3</v>
      </c>
      <c r="E118" s="2">
        <f t="shared" si="24"/>
        <v>0.25</v>
      </c>
      <c r="F118" t="s">
        <v>18</v>
      </c>
      <c r="G118" t="str">
        <f t="shared" si="25"/>
        <v>20250408-Hospital 8</v>
      </c>
      <c r="H118">
        <f>IF(COUNTIF($G$2:G118,G118)=1,C118,0)</f>
        <v>12</v>
      </c>
    </row>
    <row r="119" spans="1:8" x14ac:dyDescent="0.3">
      <c r="A119" s="1">
        <v>45755</v>
      </c>
      <c r="B119" s="1" t="s">
        <v>15</v>
      </c>
      <c r="C119">
        <v>12</v>
      </c>
      <c r="D119">
        <v>3</v>
      </c>
      <c r="E119" s="2">
        <f t="shared" ref="E119:E121" si="26">IF(C119=0, 0, D119/C119)</f>
        <v>0.25</v>
      </c>
      <c r="F119" t="s">
        <v>18</v>
      </c>
      <c r="G119" t="str">
        <f t="shared" ref="G119:G121" si="27">TEXT(A119,"yyyymmdd") &amp; "-" &amp; B119</f>
        <v>20250408-Hospital 8</v>
      </c>
      <c r="H119">
        <f>IF(COUNTIF($G$2:G119,G119)=1,C119,0)</f>
        <v>0</v>
      </c>
    </row>
    <row r="120" spans="1:8" x14ac:dyDescent="0.3">
      <c r="A120" s="1">
        <v>45755</v>
      </c>
      <c r="B120" s="1" t="s">
        <v>15</v>
      </c>
      <c r="C120">
        <v>12</v>
      </c>
      <c r="D120">
        <v>3</v>
      </c>
      <c r="E120" s="2">
        <f t="shared" si="26"/>
        <v>0.25</v>
      </c>
      <c r="F120" t="s">
        <v>17</v>
      </c>
      <c r="G120" t="str">
        <f t="shared" si="27"/>
        <v>20250408-Hospital 8</v>
      </c>
      <c r="H120">
        <f>IF(COUNTIF($G$2:G120,G120)=1,C120,0)</f>
        <v>0</v>
      </c>
    </row>
    <row r="121" spans="1:8" x14ac:dyDescent="0.3">
      <c r="A121" s="1">
        <v>45761</v>
      </c>
      <c r="B121" s="1" t="s">
        <v>10</v>
      </c>
      <c r="C121">
        <v>25</v>
      </c>
      <c r="D121">
        <v>10</v>
      </c>
      <c r="E121" s="2">
        <f t="shared" si="26"/>
        <v>0.4</v>
      </c>
      <c r="F121" t="s">
        <v>19</v>
      </c>
      <c r="G121" t="str">
        <f t="shared" si="27"/>
        <v>20250414-Hospital 3</v>
      </c>
      <c r="H121">
        <f>IF(COUNTIF($G$2:G121,G121)=1,C121,0)</f>
        <v>25</v>
      </c>
    </row>
    <row r="122" spans="1:8" x14ac:dyDescent="0.3">
      <c r="A122" s="1">
        <v>45761</v>
      </c>
      <c r="B122" s="1" t="s">
        <v>10</v>
      </c>
      <c r="C122">
        <v>25</v>
      </c>
      <c r="D122">
        <v>10</v>
      </c>
      <c r="E122" s="2">
        <f t="shared" ref="E122:E132" si="28">IF(C122=0, 0, D122/C122)</f>
        <v>0.4</v>
      </c>
      <c r="F122" t="s">
        <v>22</v>
      </c>
      <c r="G122" t="str">
        <f t="shared" ref="G122:G132" si="29">TEXT(A122,"yyyymmdd") &amp; "-" &amp; B122</f>
        <v>20250414-Hospital 3</v>
      </c>
      <c r="H122">
        <f>IF(COUNTIF($G$2:G122,G122)=1,C122,0)</f>
        <v>0</v>
      </c>
    </row>
    <row r="123" spans="1:8" x14ac:dyDescent="0.3">
      <c r="A123" s="1">
        <v>45761</v>
      </c>
      <c r="B123" s="1" t="s">
        <v>10</v>
      </c>
      <c r="C123">
        <v>25</v>
      </c>
      <c r="D123">
        <v>10</v>
      </c>
      <c r="E123" s="2">
        <f t="shared" si="28"/>
        <v>0.4</v>
      </c>
      <c r="F123" t="s">
        <v>20</v>
      </c>
      <c r="G123" t="str">
        <f t="shared" si="29"/>
        <v>20250414-Hospital 3</v>
      </c>
      <c r="H123">
        <f>IF(COUNTIF($G$2:G123,G123)=1,C123,0)</f>
        <v>0</v>
      </c>
    </row>
    <row r="124" spans="1:8" x14ac:dyDescent="0.3">
      <c r="A124" s="1">
        <v>45761</v>
      </c>
      <c r="B124" s="1" t="s">
        <v>10</v>
      </c>
      <c r="C124">
        <v>25</v>
      </c>
      <c r="D124">
        <v>10</v>
      </c>
      <c r="E124" s="2">
        <f t="shared" si="28"/>
        <v>0.4</v>
      </c>
      <c r="F124" t="s">
        <v>21</v>
      </c>
      <c r="G124" t="str">
        <f t="shared" si="29"/>
        <v>20250414-Hospital 3</v>
      </c>
      <c r="H124">
        <f>IF(COUNTIF($G$2:G124,G124)=1,C124,0)</f>
        <v>0</v>
      </c>
    </row>
    <row r="125" spans="1:8" x14ac:dyDescent="0.3">
      <c r="A125" s="1">
        <v>45761</v>
      </c>
      <c r="B125" s="1" t="s">
        <v>10</v>
      </c>
      <c r="C125">
        <v>25</v>
      </c>
      <c r="D125">
        <v>10</v>
      </c>
      <c r="E125" s="2">
        <f t="shared" si="28"/>
        <v>0.4</v>
      </c>
      <c r="F125" t="s">
        <v>18</v>
      </c>
      <c r="G125" t="str">
        <f t="shared" si="29"/>
        <v>20250414-Hospital 3</v>
      </c>
      <c r="H125">
        <f>IF(COUNTIF($G$2:G125,G125)=1,C125,0)</f>
        <v>0</v>
      </c>
    </row>
    <row r="126" spans="1:8" x14ac:dyDescent="0.3">
      <c r="A126" s="1">
        <v>45761</v>
      </c>
      <c r="B126" s="1" t="s">
        <v>10</v>
      </c>
      <c r="C126">
        <v>25</v>
      </c>
      <c r="D126">
        <v>10</v>
      </c>
      <c r="E126" s="2">
        <f t="shared" si="28"/>
        <v>0.4</v>
      </c>
      <c r="F126" t="s">
        <v>18</v>
      </c>
      <c r="G126" t="str">
        <f t="shared" si="29"/>
        <v>20250414-Hospital 3</v>
      </c>
      <c r="H126">
        <f>IF(COUNTIF($G$2:G126,G126)=1,C126,0)</f>
        <v>0</v>
      </c>
    </row>
    <row r="127" spans="1:8" x14ac:dyDescent="0.3">
      <c r="A127" s="1">
        <v>45761</v>
      </c>
      <c r="B127" s="1" t="s">
        <v>10</v>
      </c>
      <c r="C127">
        <v>25</v>
      </c>
      <c r="D127">
        <v>10</v>
      </c>
      <c r="E127" s="2">
        <f t="shared" si="28"/>
        <v>0.4</v>
      </c>
      <c r="F127" t="s">
        <v>18</v>
      </c>
      <c r="G127" t="str">
        <f t="shared" si="29"/>
        <v>20250414-Hospital 3</v>
      </c>
      <c r="H127">
        <f>IF(COUNTIF($G$2:G127,G127)=1,C127,0)</f>
        <v>0</v>
      </c>
    </row>
    <row r="128" spans="1:8" x14ac:dyDescent="0.3">
      <c r="A128" s="1">
        <v>45761</v>
      </c>
      <c r="B128" s="1" t="s">
        <v>10</v>
      </c>
      <c r="C128">
        <v>25</v>
      </c>
      <c r="D128">
        <v>10</v>
      </c>
      <c r="E128" s="2">
        <f t="shared" si="28"/>
        <v>0.4</v>
      </c>
      <c r="F128" t="s">
        <v>18</v>
      </c>
      <c r="G128" t="str">
        <f t="shared" si="29"/>
        <v>20250414-Hospital 3</v>
      </c>
      <c r="H128">
        <f>IF(COUNTIF($G$2:G128,G128)=1,C128,0)</f>
        <v>0</v>
      </c>
    </row>
    <row r="129" spans="1:8" x14ac:dyDescent="0.3">
      <c r="A129" s="1">
        <v>45761</v>
      </c>
      <c r="B129" s="1" t="s">
        <v>10</v>
      </c>
      <c r="C129">
        <v>25</v>
      </c>
      <c r="D129">
        <v>10</v>
      </c>
      <c r="E129" s="2">
        <f t="shared" si="28"/>
        <v>0.4</v>
      </c>
      <c r="F129" t="s">
        <v>17</v>
      </c>
      <c r="G129" t="str">
        <f t="shared" si="29"/>
        <v>20250414-Hospital 3</v>
      </c>
      <c r="H129">
        <f>IF(COUNTIF($G$2:G129,G129)=1,C129,0)</f>
        <v>0</v>
      </c>
    </row>
    <row r="130" spans="1:8" x14ac:dyDescent="0.3">
      <c r="A130" s="1">
        <v>45761</v>
      </c>
      <c r="B130" s="1" t="s">
        <v>10</v>
      </c>
      <c r="C130">
        <v>25</v>
      </c>
      <c r="D130">
        <v>10</v>
      </c>
      <c r="E130" s="2">
        <f t="shared" si="28"/>
        <v>0.4</v>
      </c>
      <c r="F130" t="s">
        <v>17</v>
      </c>
      <c r="G130" t="str">
        <f t="shared" si="29"/>
        <v>20250414-Hospital 3</v>
      </c>
      <c r="H130">
        <f>IF(COUNTIF($G$2:G130,G130)=1,C130,0)</f>
        <v>0</v>
      </c>
    </row>
    <row r="131" spans="1:8" x14ac:dyDescent="0.3">
      <c r="A131" s="1">
        <v>45775</v>
      </c>
      <c r="B131" s="1" t="s">
        <v>16</v>
      </c>
      <c r="C131">
        <v>13</v>
      </c>
      <c r="D131">
        <v>1</v>
      </c>
      <c r="E131" s="2">
        <f t="shared" si="28"/>
        <v>7.6923076923076927E-2</v>
      </c>
      <c r="F131" t="s">
        <v>20</v>
      </c>
      <c r="G131" t="str">
        <f t="shared" si="29"/>
        <v>20250428-Hospital 9</v>
      </c>
      <c r="H131">
        <f>IF(COUNTIF($G$2:G131,G131)=1,C131,0)</f>
        <v>13</v>
      </c>
    </row>
    <row r="132" spans="1:8" x14ac:dyDescent="0.3">
      <c r="A132" s="1">
        <v>45790</v>
      </c>
      <c r="B132" s="1" t="s">
        <v>15</v>
      </c>
      <c r="C132">
        <v>14</v>
      </c>
      <c r="D132">
        <v>2</v>
      </c>
      <c r="E132" s="2">
        <f t="shared" si="28"/>
        <v>0.14285714285714285</v>
      </c>
      <c r="F132" t="s">
        <v>18</v>
      </c>
      <c r="G132" t="str">
        <f t="shared" si="29"/>
        <v>20250513-Hospital 8</v>
      </c>
      <c r="H132">
        <f>IF(COUNTIF($G$2:G132,G132)=1,C132,0)</f>
        <v>14</v>
      </c>
    </row>
    <row r="133" spans="1:8" x14ac:dyDescent="0.3">
      <c r="A133" s="1">
        <v>45790</v>
      </c>
      <c r="B133" s="1" t="s">
        <v>15</v>
      </c>
      <c r="C133">
        <v>14</v>
      </c>
      <c r="D133">
        <v>2</v>
      </c>
      <c r="E133" s="2">
        <f t="shared" ref="E133:E134" si="30">IF(C133=0, 0, D133/C133)</f>
        <v>0.14285714285714285</v>
      </c>
      <c r="F133" t="s">
        <v>18</v>
      </c>
      <c r="G133" t="str">
        <f t="shared" ref="G133:G134" si="31">TEXT(A133,"yyyymmdd") &amp; "-" &amp; B133</f>
        <v>20250513-Hospital 8</v>
      </c>
      <c r="H133">
        <f>IF(COUNTIF($G$2:G133,G133)=1,C133,0)</f>
        <v>0</v>
      </c>
    </row>
    <row r="134" spans="1:8" x14ac:dyDescent="0.3">
      <c r="A134" s="1">
        <v>45796</v>
      </c>
      <c r="B134" s="1" t="s">
        <v>12</v>
      </c>
      <c r="C134">
        <v>27</v>
      </c>
      <c r="D134">
        <v>14</v>
      </c>
      <c r="E134" s="2">
        <f t="shared" si="30"/>
        <v>0.51851851851851849</v>
      </c>
      <c r="F134" t="s">
        <v>22</v>
      </c>
      <c r="G134" t="str">
        <f t="shared" si="31"/>
        <v>20250519-Hospital 5</v>
      </c>
      <c r="H134">
        <f>IF(COUNTIF($G$2:G134,G134)=1,C134,0)</f>
        <v>27</v>
      </c>
    </row>
    <row r="135" spans="1:8" x14ac:dyDescent="0.3">
      <c r="A135" s="1">
        <v>45796</v>
      </c>
      <c r="B135" s="1" t="s">
        <v>12</v>
      </c>
      <c r="C135">
        <v>27</v>
      </c>
      <c r="D135">
        <v>14</v>
      </c>
      <c r="E135" s="2">
        <f t="shared" ref="E135:E148" si="32">IF(C135=0, 0, D135/C135)</f>
        <v>0.51851851851851849</v>
      </c>
      <c r="F135" t="s">
        <v>22</v>
      </c>
      <c r="G135" t="str">
        <f t="shared" ref="G135:G148" si="33">TEXT(A135,"yyyymmdd") &amp; "-" &amp; B135</f>
        <v>20250519-Hospital 5</v>
      </c>
      <c r="H135">
        <f>IF(COUNTIF($G$2:G135,G135)=1,C135,0)</f>
        <v>0</v>
      </c>
    </row>
    <row r="136" spans="1:8" x14ac:dyDescent="0.3">
      <c r="A136" s="1">
        <v>45796</v>
      </c>
      <c r="B136" s="1" t="s">
        <v>12</v>
      </c>
      <c r="C136">
        <v>27</v>
      </c>
      <c r="D136">
        <v>14</v>
      </c>
      <c r="E136" s="2">
        <f t="shared" si="32"/>
        <v>0.51851851851851849</v>
      </c>
      <c r="F136" t="s">
        <v>20</v>
      </c>
      <c r="G136" t="str">
        <f t="shared" si="33"/>
        <v>20250519-Hospital 5</v>
      </c>
      <c r="H136">
        <f>IF(COUNTIF($G$2:G136,G136)=1,C136,0)</f>
        <v>0</v>
      </c>
    </row>
    <row r="137" spans="1:8" x14ac:dyDescent="0.3">
      <c r="A137" s="1">
        <v>45796</v>
      </c>
      <c r="B137" s="1" t="s">
        <v>12</v>
      </c>
      <c r="C137">
        <v>27</v>
      </c>
      <c r="D137">
        <v>14</v>
      </c>
      <c r="E137" s="2">
        <f t="shared" si="32"/>
        <v>0.51851851851851849</v>
      </c>
      <c r="F137" t="s">
        <v>18</v>
      </c>
      <c r="G137" t="str">
        <f t="shared" si="33"/>
        <v>20250519-Hospital 5</v>
      </c>
      <c r="H137">
        <f>IF(COUNTIF($G$2:G137,G137)=1,C137,0)</f>
        <v>0</v>
      </c>
    </row>
    <row r="138" spans="1:8" x14ac:dyDescent="0.3">
      <c r="A138" s="1">
        <v>45796</v>
      </c>
      <c r="B138" s="1" t="s">
        <v>12</v>
      </c>
      <c r="C138">
        <v>27</v>
      </c>
      <c r="D138">
        <v>14</v>
      </c>
      <c r="E138" s="2">
        <f t="shared" si="32"/>
        <v>0.51851851851851849</v>
      </c>
      <c r="F138" t="s">
        <v>18</v>
      </c>
      <c r="G138" t="str">
        <f t="shared" si="33"/>
        <v>20250519-Hospital 5</v>
      </c>
      <c r="H138">
        <f>IF(COUNTIF($G$2:G138,G138)=1,C138,0)</f>
        <v>0</v>
      </c>
    </row>
    <row r="139" spans="1:8" x14ac:dyDescent="0.3">
      <c r="A139" s="1">
        <v>45796</v>
      </c>
      <c r="B139" s="1" t="s">
        <v>12</v>
      </c>
      <c r="C139">
        <v>27</v>
      </c>
      <c r="D139">
        <v>14</v>
      </c>
      <c r="E139" s="2">
        <f t="shared" si="32"/>
        <v>0.51851851851851849</v>
      </c>
      <c r="F139" t="s">
        <v>18</v>
      </c>
      <c r="G139" t="str">
        <f t="shared" si="33"/>
        <v>20250519-Hospital 5</v>
      </c>
      <c r="H139">
        <f>IF(COUNTIF($G$2:G139,G139)=1,C139,0)</f>
        <v>0</v>
      </c>
    </row>
    <row r="140" spans="1:8" x14ac:dyDescent="0.3">
      <c r="A140" s="1">
        <v>45796</v>
      </c>
      <c r="B140" s="1" t="s">
        <v>12</v>
      </c>
      <c r="C140">
        <v>27</v>
      </c>
      <c r="D140">
        <v>14</v>
      </c>
      <c r="E140" s="2">
        <f t="shared" si="32"/>
        <v>0.51851851851851849</v>
      </c>
      <c r="F140" t="s">
        <v>18</v>
      </c>
      <c r="G140" t="str">
        <f t="shared" si="33"/>
        <v>20250519-Hospital 5</v>
      </c>
      <c r="H140">
        <f>IF(COUNTIF($G$2:G140,G140)=1,C140,0)</f>
        <v>0</v>
      </c>
    </row>
    <row r="141" spans="1:8" x14ac:dyDescent="0.3">
      <c r="A141" s="1">
        <v>45796</v>
      </c>
      <c r="B141" s="1" t="s">
        <v>12</v>
      </c>
      <c r="C141">
        <v>27</v>
      </c>
      <c r="D141">
        <v>14</v>
      </c>
      <c r="E141" s="2">
        <f t="shared" si="32"/>
        <v>0.51851851851851849</v>
      </c>
      <c r="F141" t="s">
        <v>18</v>
      </c>
      <c r="G141" t="str">
        <f t="shared" si="33"/>
        <v>20250519-Hospital 5</v>
      </c>
      <c r="H141">
        <f>IF(COUNTIF($G$2:G141,G141)=1,C141,0)</f>
        <v>0</v>
      </c>
    </row>
    <row r="142" spans="1:8" x14ac:dyDescent="0.3">
      <c r="A142" s="1">
        <v>45796</v>
      </c>
      <c r="B142" s="1" t="s">
        <v>12</v>
      </c>
      <c r="C142">
        <v>27</v>
      </c>
      <c r="D142">
        <v>14</v>
      </c>
      <c r="E142" s="2">
        <f t="shared" si="32"/>
        <v>0.51851851851851849</v>
      </c>
      <c r="F142" t="s">
        <v>17</v>
      </c>
      <c r="G142" t="str">
        <f t="shared" si="33"/>
        <v>20250519-Hospital 5</v>
      </c>
      <c r="H142">
        <f>IF(COUNTIF($G$2:G142,G142)=1,C142,0)</f>
        <v>0</v>
      </c>
    </row>
    <row r="143" spans="1:8" x14ac:dyDescent="0.3">
      <c r="A143" s="1">
        <v>45796</v>
      </c>
      <c r="B143" s="1" t="s">
        <v>12</v>
      </c>
      <c r="C143">
        <v>27</v>
      </c>
      <c r="D143">
        <v>14</v>
      </c>
      <c r="E143" s="2">
        <f t="shared" si="32"/>
        <v>0.51851851851851849</v>
      </c>
      <c r="F143" t="s">
        <v>17</v>
      </c>
      <c r="G143" t="str">
        <f t="shared" si="33"/>
        <v>20250519-Hospital 5</v>
      </c>
      <c r="H143">
        <f>IF(COUNTIF($G$2:G143,G143)=1,C143,0)</f>
        <v>0</v>
      </c>
    </row>
    <row r="144" spans="1:8" x14ac:dyDescent="0.3">
      <c r="A144" s="1">
        <v>45796</v>
      </c>
      <c r="B144" s="1" t="s">
        <v>12</v>
      </c>
      <c r="C144">
        <v>27</v>
      </c>
      <c r="D144">
        <v>14</v>
      </c>
      <c r="E144" s="2">
        <f t="shared" si="32"/>
        <v>0.51851851851851849</v>
      </c>
      <c r="F144" t="s">
        <v>17</v>
      </c>
      <c r="G144" t="str">
        <f t="shared" si="33"/>
        <v>20250519-Hospital 5</v>
      </c>
      <c r="H144">
        <f>IF(COUNTIF($G$2:G144,G144)=1,C144,0)</f>
        <v>0</v>
      </c>
    </row>
    <row r="145" spans="1:8" x14ac:dyDescent="0.3">
      <c r="A145" s="1">
        <v>45796</v>
      </c>
      <c r="B145" s="1" t="s">
        <v>12</v>
      </c>
      <c r="C145">
        <v>27</v>
      </c>
      <c r="D145">
        <v>14</v>
      </c>
      <c r="E145" s="2">
        <f t="shared" si="32"/>
        <v>0.51851851851851849</v>
      </c>
      <c r="F145" t="s">
        <v>17</v>
      </c>
      <c r="G145" t="str">
        <f t="shared" si="33"/>
        <v>20250519-Hospital 5</v>
      </c>
      <c r="H145">
        <f>IF(COUNTIF($G$2:G145,G145)=1,C145,0)</f>
        <v>0</v>
      </c>
    </row>
    <row r="146" spans="1:8" x14ac:dyDescent="0.3">
      <c r="A146" s="1">
        <v>45796</v>
      </c>
      <c r="B146" s="1" t="s">
        <v>12</v>
      </c>
      <c r="C146">
        <v>27</v>
      </c>
      <c r="D146">
        <v>14</v>
      </c>
      <c r="E146" s="2">
        <f t="shared" si="32"/>
        <v>0.51851851851851849</v>
      </c>
      <c r="F146" t="s">
        <v>21</v>
      </c>
      <c r="G146" t="str">
        <f t="shared" si="33"/>
        <v>20250519-Hospital 5</v>
      </c>
      <c r="H146">
        <f>IF(COUNTIF($G$2:G146,G146)=1,C146,0)</f>
        <v>0</v>
      </c>
    </row>
    <row r="147" spans="1:8" x14ac:dyDescent="0.3">
      <c r="A147" s="1">
        <v>45796</v>
      </c>
      <c r="B147" s="1" t="s">
        <v>12</v>
      </c>
      <c r="C147">
        <v>27</v>
      </c>
      <c r="D147">
        <v>14</v>
      </c>
      <c r="E147" s="2">
        <f t="shared" si="32"/>
        <v>0.51851851851851849</v>
      </c>
      <c r="F147" t="s">
        <v>23</v>
      </c>
      <c r="G147" t="str">
        <f t="shared" si="33"/>
        <v>20250519-Hospital 5</v>
      </c>
      <c r="H147">
        <f>IF(COUNTIF($G$2:G147,G147)=1,C147,0)</f>
        <v>0</v>
      </c>
    </row>
    <row r="148" spans="1:8" x14ac:dyDescent="0.3">
      <c r="A148" s="1">
        <v>45804</v>
      </c>
      <c r="B148" s="1" t="s">
        <v>16</v>
      </c>
      <c r="C148">
        <v>17</v>
      </c>
      <c r="D148">
        <v>6</v>
      </c>
      <c r="E148" s="2">
        <f t="shared" si="32"/>
        <v>0.35294117647058826</v>
      </c>
      <c r="F148" t="s">
        <v>18</v>
      </c>
      <c r="G148" t="str">
        <f t="shared" si="33"/>
        <v>20250527-Hospital 9</v>
      </c>
      <c r="H148">
        <f>IF(COUNTIF($G$2:G148,G148)=1,C148,0)</f>
        <v>17</v>
      </c>
    </row>
    <row r="149" spans="1:8" x14ac:dyDescent="0.3">
      <c r="A149" s="1">
        <v>45804</v>
      </c>
      <c r="B149" s="1" t="s">
        <v>16</v>
      </c>
      <c r="C149">
        <v>17</v>
      </c>
      <c r="D149">
        <v>6</v>
      </c>
      <c r="E149" s="2">
        <f t="shared" ref="E149:E154" si="34">IF(C149=0, 0, D149/C149)</f>
        <v>0.35294117647058826</v>
      </c>
      <c r="F149" t="s">
        <v>18</v>
      </c>
      <c r="G149" t="str">
        <f t="shared" ref="G149:G154" si="35">TEXT(A149,"yyyymmdd") &amp; "-" &amp; B149</f>
        <v>20250527-Hospital 9</v>
      </c>
      <c r="H149">
        <f>IF(COUNTIF($G$2:G149,G149)=1,C149,0)</f>
        <v>0</v>
      </c>
    </row>
    <row r="150" spans="1:8" x14ac:dyDescent="0.3">
      <c r="A150" s="1">
        <v>45804</v>
      </c>
      <c r="B150" s="1" t="s">
        <v>16</v>
      </c>
      <c r="C150">
        <v>17</v>
      </c>
      <c r="D150">
        <v>6</v>
      </c>
      <c r="E150" s="2">
        <f t="shared" si="34"/>
        <v>0.35294117647058826</v>
      </c>
      <c r="F150" t="s">
        <v>18</v>
      </c>
      <c r="G150" t="str">
        <f t="shared" si="35"/>
        <v>20250527-Hospital 9</v>
      </c>
      <c r="H150">
        <f>IF(COUNTIF($G$2:G150,G150)=1,C150,0)</f>
        <v>0</v>
      </c>
    </row>
    <row r="151" spans="1:8" x14ac:dyDescent="0.3">
      <c r="A151" s="1">
        <v>45804</v>
      </c>
      <c r="B151" s="1" t="s">
        <v>16</v>
      </c>
      <c r="C151">
        <v>17</v>
      </c>
      <c r="D151">
        <v>6</v>
      </c>
      <c r="E151" s="2">
        <f t="shared" si="34"/>
        <v>0.35294117647058826</v>
      </c>
      <c r="F151" t="s">
        <v>17</v>
      </c>
      <c r="G151" t="str">
        <f t="shared" si="35"/>
        <v>20250527-Hospital 9</v>
      </c>
      <c r="H151">
        <f>IF(COUNTIF($G$2:G151,G151)=1,C151,0)</f>
        <v>0</v>
      </c>
    </row>
    <row r="152" spans="1:8" x14ac:dyDescent="0.3">
      <c r="A152" s="1">
        <v>45804</v>
      </c>
      <c r="B152" s="1" t="s">
        <v>16</v>
      </c>
      <c r="C152">
        <v>17</v>
      </c>
      <c r="D152">
        <v>6</v>
      </c>
      <c r="E152" s="2">
        <f t="shared" si="34"/>
        <v>0.35294117647058826</v>
      </c>
      <c r="F152" t="s">
        <v>17</v>
      </c>
      <c r="G152" t="str">
        <f t="shared" si="35"/>
        <v>20250527-Hospital 9</v>
      </c>
      <c r="H152">
        <f>IF(COUNTIF($G$2:G152,G152)=1,C152,0)</f>
        <v>0</v>
      </c>
    </row>
    <row r="153" spans="1:8" x14ac:dyDescent="0.3">
      <c r="A153" s="1">
        <v>45804</v>
      </c>
      <c r="B153" s="1" t="s">
        <v>16</v>
      </c>
      <c r="C153">
        <v>17</v>
      </c>
      <c r="D153">
        <v>6</v>
      </c>
      <c r="E153" s="2">
        <f t="shared" si="34"/>
        <v>0.35294117647058826</v>
      </c>
      <c r="F153" t="s">
        <v>26</v>
      </c>
      <c r="G153" t="str">
        <f t="shared" si="35"/>
        <v>20250527-Hospital 9</v>
      </c>
      <c r="H153">
        <f>IF(COUNTIF($G$2:G153,G153)=1,C153,0)</f>
        <v>0</v>
      </c>
    </row>
    <row r="154" spans="1:8" x14ac:dyDescent="0.3">
      <c r="A154" s="1">
        <v>45806</v>
      </c>
      <c r="B154" s="1" t="s">
        <v>8</v>
      </c>
      <c r="C154">
        <v>33</v>
      </c>
      <c r="D154">
        <v>12</v>
      </c>
      <c r="E154" s="2">
        <f t="shared" si="34"/>
        <v>0.36363636363636365</v>
      </c>
      <c r="F154" t="s">
        <v>18</v>
      </c>
      <c r="G154" t="str">
        <f t="shared" si="35"/>
        <v>20250529-Hospital 1</v>
      </c>
      <c r="H154">
        <f>IF(COUNTIF($G$2:G154,G154)=1,C154,0)</f>
        <v>33</v>
      </c>
    </row>
    <row r="155" spans="1:8" x14ac:dyDescent="0.3">
      <c r="A155" s="1">
        <v>45806</v>
      </c>
      <c r="B155" s="1" t="s">
        <v>8</v>
      </c>
      <c r="C155">
        <v>33</v>
      </c>
      <c r="D155">
        <v>12</v>
      </c>
      <c r="E155" s="2">
        <f t="shared" ref="E155:E166" si="36">IF(C155=0, 0, D155/C155)</f>
        <v>0.36363636363636365</v>
      </c>
      <c r="F155" t="s">
        <v>18</v>
      </c>
      <c r="G155" t="str">
        <f t="shared" ref="G155:G166" si="37">TEXT(A155,"yyyymmdd") &amp; "-" &amp; B155</f>
        <v>20250529-Hospital 1</v>
      </c>
      <c r="H155">
        <f>IF(COUNTIF($G$2:G155,G155)=1,C155,0)</f>
        <v>0</v>
      </c>
    </row>
    <row r="156" spans="1:8" x14ac:dyDescent="0.3">
      <c r="A156" s="1">
        <v>45806</v>
      </c>
      <c r="B156" s="1" t="s">
        <v>8</v>
      </c>
      <c r="C156">
        <v>33</v>
      </c>
      <c r="D156">
        <v>12</v>
      </c>
      <c r="E156" s="2">
        <f t="shared" si="36"/>
        <v>0.36363636363636365</v>
      </c>
      <c r="F156" t="s">
        <v>18</v>
      </c>
      <c r="G156" t="str">
        <f t="shared" si="37"/>
        <v>20250529-Hospital 1</v>
      </c>
      <c r="H156">
        <f>IF(COUNTIF($G$2:G156,G156)=1,C156,0)</f>
        <v>0</v>
      </c>
    </row>
    <row r="157" spans="1:8" x14ac:dyDescent="0.3">
      <c r="A157" s="1">
        <v>45806</v>
      </c>
      <c r="B157" s="1" t="s">
        <v>8</v>
      </c>
      <c r="C157">
        <v>33</v>
      </c>
      <c r="D157">
        <v>12</v>
      </c>
      <c r="E157" s="2">
        <f t="shared" si="36"/>
        <v>0.36363636363636365</v>
      </c>
      <c r="F157" t="s">
        <v>18</v>
      </c>
      <c r="G157" t="str">
        <f t="shared" si="37"/>
        <v>20250529-Hospital 1</v>
      </c>
      <c r="H157">
        <f>IF(COUNTIF($G$2:G157,G157)=1,C157,0)</f>
        <v>0</v>
      </c>
    </row>
    <row r="158" spans="1:8" x14ac:dyDescent="0.3">
      <c r="A158" s="1">
        <v>45806</v>
      </c>
      <c r="B158" s="1" t="s">
        <v>8</v>
      </c>
      <c r="C158">
        <v>33</v>
      </c>
      <c r="D158">
        <v>12</v>
      </c>
      <c r="E158" s="2">
        <f t="shared" si="36"/>
        <v>0.36363636363636365</v>
      </c>
      <c r="F158" t="s">
        <v>18</v>
      </c>
      <c r="G158" t="str">
        <f t="shared" si="37"/>
        <v>20250529-Hospital 1</v>
      </c>
      <c r="H158">
        <f>IF(COUNTIF($G$2:G158,G158)=1,C158,0)</f>
        <v>0</v>
      </c>
    </row>
    <row r="159" spans="1:8" x14ac:dyDescent="0.3">
      <c r="A159" s="1">
        <v>45806</v>
      </c>
      <c r="B159" s="1" t="s">
        <v>8</v>
      </c>
      <c r="C159">
        <v>33</v>
      </c>
      <c r="D159">
        <v>12</v>
      </c>
      <c r="E159" s="2">
        <f t="shared" si="36"/>
        <v>0.36363636363636365</v>
      </c>
      <c r="F159" t="s">
        <v>17</v>
      </c>
      <c r="G159" t="str">
        <f t="shared" si="37"/>
        <v>20250529-Hospital 1</v>
      </c>
      <c r="H159">
        <f>IF(COUNTIF($G$2:G159,G159)=1,C159,0)</f>
        <v>0</v>
      </c>
    </row>
    <row r="160" spans="1:8" x14ac:dyDescent="0.3">
      <c r="A160" s="1">
        <v>45806</v>
      </c>
      <c r="B160" s="1" t="s">
        <v>8</v>
      </c>
      <c r="C160">
        <v>33</v>
      </c>
      <c r="D160">
        <v>12</v>
      </c>
      <c r="E160" s="2">
        <f t="shared" si="36"/>
        <v>0.36363636363636365</v>
      </c>
      <c r="F160" t="s">
        <v>17</v>
      </c>
      <c r="G160" t="str">
        <f t="shared" si="37"/>
        <v>20250529-Hospital 1</v>
      </c>
      <c r="H160">
        <f>IF(COUNTIF($G$2:G160,G160)=1,C160,0)</f>
        <v>0</v>
      </c>
    </row>
    <row r="161" spans="1:8" x14ac:dyDescent="0.3">
      <c r="A161" s="1">
        <v>45806</v>
      </c>
      <c r="B161" s="1" t="s">
        <v>8</v>
      </c>
      <c r="C161">
        <v>33</v>
      </c>
      <c r="D161">
        <v>12</v>
      </c>
      <c r="E161" s="2">
        <f t="shared" si="36"/>
        <v>0.36363636363636365</v>
      </c>
      <c r="F161" t="s">
        <v>17</v>
      </c>
      <c r="G161" t="str">
        <f t="shared" si="37"/>
        <v>20250529-Hospital 1</v>
      </c>
      <c r="H161">
        <f>IF(COUNTIF($G$2:G161,G161)=1,C161,0)</f>
        <v>0</v>
      </c>
    </row>
    <row r="162" spans="1:8" x14ac:dyDescent="0.3">
      <c r="A162" s="1">
        <v>45806</v>
      </c>
      <c r="B162" s="1" t="s">
        <v>8</v>
      </c>
      <c r="C162">
        <v>33</v>
      </c>
      <c r="D162">
        <v>12</v>
      </c>
      <c r="E162" s="2">
        <f t="shared" si="36"/>
        <v>0.36363636363636365</v>
      </c>
      <c r="F162" t="s">
        <v>17</v>
      </c>
      <c r="G162" t="str">
        <f t="shared" si="37"/>
        <v>20250529-Hospital 1</v>
      </c>
      <c r="H162">
        <f>IF(COUNTIF($G$2:G162,G162)=1,C162,0)</f>
        <v>0</v>
      </c>
    </row>
    <row r="163" spans="1:8" x14ac:dyDescent="0.3">
      <c r="A163" s="1">
        <v>45806</v>
      </c>
      <c r="B163" s="1" t="s">
        <v>8</v>
      </c>
      <c r="C163">
        <v>33</v>
      </c>
      <c r="D163">
        <v>12</v>
      </c>
      <c r="E163" s="2">
        <f t="shared" si="36"/>
        <v>0.36363636363636365</v>
      </c>
      <c r="F163" t="s">
        <v>23</v>
      </c>
      <c r="G163" t="str">
        <f t="shared" si="37"/>
        <v>20250529-Hospital 1</v>
      </c>
      <c r="H163">
        <f>IF(COUNTIF($G$2:G163,G163)=1,C163,0)</f>
        <v>0</v>
      </c>
    </row>
    <row r="164" spans="1:8" x14ac:dyDescent="0.3">
      <c r="A164" s="1">
        <v>45806</v>
      </c>
      <c r="B164" s="1" t="s">
        <v>8</v>
      </c>
      <c r="C164">
        <v>33</v>
      </c>
      <c r="D164">
        <v>12</v>
      </c>
      <c r="E164" s="2">
        <f t="shared" si="36"/>
        <v>0.36363636363636365</v>
      </c>
      <c r="F164" t="s">
        <v>20</v>
      </c>
      <c r="G164" t="str">
        <f t="shared" si="37"/>
        <v>20250529-Hospital 1</v>
      </c>
      <c r="H164">
        <f>IF(COUNTIF($G$2:G164,G164)=1,C164,0)</f>
        <v>0</v>
      </c>
    </row>
    <row r="165" spans="1:8" x14ac:dyDescent="0.3">
      <c r="A165" s="1">
        <v>45806</v>
      </c>
      <c r="B165" s="1" t="s">
        <v>8</v>
      </c>
      <c r="C165">
        <v>33</v>
      </c>
      <c r="D165">
        <v>12</v>
      </c>
      <c r="E165" s="2">
        <f t="shared" si="36"/>
        <v>0.36363636363636365</v>
      </c>
      <c r="F165" t="s">
        <v>22</v>
      </c>
      <c r="G165" t="str">
        <f t="shared" si="37"/>
        <v>20250529-Hospital 1</v>
      </c>
      <c r="H165">
        <f>IF(COUNTIF($G$2:G165,G165)=1,C165,0)</f>
        <v>0</v>
      </c>
    </row>
    <row r="166" spans="1:8" x14ac:dyDescent="0.3">
      <c r="A166" s="1">
        <v>45810</v>
      </c>
      <c r="B166" s="1" t="s">
        <v>9</v>
      </c>
      <c r="C166">
        <v>20</v>
      </c>
      <c r="D166">
        <v>6</v>
      </c>
      <c r="E166" s="2">
        <f t="shared" si="36"/>
        <v>0.3</v>
      </c>
      <c r="F166" t="s">
        <v>21</v>
      </c>
      <c r="G166" t="str">
        <f t="shared" si="37"/>
        <v>20250602-Hospital 2</v>
      </c>
      <c r="H166">
        <f>IF(COUNTIF($G$2:G166,G166)=1,C166,0)</f>
        <v>20</v>
      </c>
    </row>
    <row r="167" spans="1:8" x14ac:dyDescent="0.3">
      <c r="A167" s="1">
        <v>45810</v>
      </c>
      <c r="B167" s="1" t="s">
        <v>9</v>
      </c>
      <c r="C167">
        <v>20</v>
      </c>
      <c r="D167">
        <v>6</v>
      </c>
      <c r="E167" s="2">
        <f t="shared" ref="E167:E172" si="38">IF(C167=0, 0, D167/C167)</f>
        <v>0.3</v>
      </c>
      <c r="F167" t="s">
        <v>18</v>
      </c>
      <c r="G167" t="str">
        <f t="shared" ref="G167:G172" si="39">TEXT(A167,"yyyymmdd") &amp; "-" &amp; B167</f>
        <v>20250602-Hospital 2</v>
      </c>
      <c r="H167">
        <f>IF(COUNTIF($G$2:G167,G167)=1,C167,0)</f>
        <v>0</v>
      </c>
    </row>
    <row r="168" spans="1:8" x14ac:dyDescent="0.3">
      <c r="A168" s="1">
        <v>45810</v>
      </c>
      <c r="B168" s="1" t="s">
        <v>9</v>
      </c>
      <c r="C168">
        <v>20</v>
      </c>
      <c r="D168">
        <v>6</v>
      </c>
      <c r="E168" s="2">
        <f t="shared" si="38"/>
        <v>0.3</v>
      </c>
      <c r="F168" t="s">
        <v>18</v>
      </c>
      <c r="G168" t="str">
        <f t="shared" si="39"/>
        <v>20250602-Hospital 2</v>
      </c>
      <c r="H168">
        <f>IF(COUNTIF($G$2:G168,G168)=1,C168,0)</f>
        <v>0</v>
      </c>
    </row>
    <row r="169" spans="1:8" x14ac:dyDescent="0.3">
      <c r="A169" s="1">
        <v>45810</v>
      </c>
      <c r="B169" s="1" t="s">
        <v>9</v>
      </c>
      <c r="C169">
        <v>20</v>
      </c>
      <c r="D169">
        <v>6</v>
      </c>
      <c r="E169" s="2">
        <f t="shared" si="38"/>
        <v>0.3</v>
      </c>
      <c r="F169" t="s">
        <v>17</v>
      </c>
      <c r="G169" t="str">
        <f t="shared" si="39"/>
        <v>20250602-Hospital 2</v>
      </c>
      <c r="H169">
        <f>IF(COUNTIF($G$2:G169,G169)=1,C169,0)</f>
        <v>0</v>
      </c>
    </row>
    <row r="170" spans="1:8" x14ac:dyDescent="0.3">
      <c r="A170" s="1">
        <v>45810</v>
      </c>
      <c r="B170" s="1" t="s">
        <v>9</v>
      </c>
      <c r="C170">
        <v>20</v>
      </c>
      <c r="D170">
        <v>6</v>
      </c>
      <c r="E170" s="2">
        <f t="shared" si="38"/>
        <v>0.3</v>
      </c>
      <c r="F170" t="s">
        <v>17</v>
      </c>
      <c r="G170" t="str">
        <f t="shared" si="39"/>
        <v>20250602-Hospital 2</v>
      </c>
      <c r="H170">
        <f>IF(COUNTIF($G$2:G170,G170)=1,C170,0)</f>
        <v>0</v>
      </c>
    </row>
    <row r="171" spans="1:8" x14ac:dyDescent="0.3">
      <c r="A171" s="1">
        <v>45810</v>
      </c>
      <c r="B171" s="1" t="s">
        <v>9</v>
      </c>
      <c r="C171">
        <v>20</v>
      </c>
      <c r="D171">
        <v>6</v>
      </c>
      <c r="E171" s="2">
        <f t="shared" si="38"/>
        <v>0.3</v>
      </c>
      <c r="F171" t="s">
        <v>19</v>
      </c>
      <c r="G171" t="str">
        <f t="shared" si="39"/>
        <v>20250602-Hospital 2</v>
      </c>
      <c r="H171">
        <f>IF(COUNTIF($G$2:G171,G171)=1,C171,0)</f>
        <v>0</v>
      </c>
    </row>
    <row r="172" spans="1:8" x14ac:dyDescent="0.3">
      <c r="A172" s="1">
        <v>45813</v>
      </c>
      <c r="B172" s="1" t="s">
        <v>11</v>
      </c>
      <c r="C172">
        <v>14</v>
      </c>
      <c r="D172">
        <v>2</v>
      </c>
      <c r="E172" s="2">
        <f t="shared" si="38"/>
        <v>0.14285714285714285</v>
      </c>
      <c r="F172" t="s">
        <v>20</v>
      </c>
      <c r="G172" t="str">
        <f t="shared" si="39"/>
        <v>20250605-Hospital 4</v>
      </c>
      <c r="H172">
        <f>IF(COUNTIF($G$2:G172,G172)=1,C172,0)</f>
        <v>14</v>
      </c>
    </row>
    <row r="173" spans="1:8" x14ac:dyDescent="0.3">
      <c r="A173" s="1">
        <v>45813</v>
      </c>
      <c r="B173" s="1" t="s">
        <v>11</v>
      </c>
      <c r="C173">
        <v>14</v>
      </c>
      <c r="D173">
        <v>2</v>
      </c>
      <c r="E173" s="2">
        <f t="shared" ref="E173:E174" si="40">IF(C173=0, 0, D173/C173)</f>
        <v>0.14285714285714285</v>
      </c>
      <c r="F173" t="s">
        <v>25</v>
      </c>
      <c r="G173" t="str">
        <f t="shared" ref="G173:G174" si="41">TEXT(A173,"yyyymmdd") &amp; "-" &amp; B173</f>
        <v>20250605-Hospital 4</v>
      </c>
      <c r="H173">
        <f>IF(COUNTIF($G$2:G173,G173)=1,C173,0)</f>
        <v>0</v>
      </c>
    </row>
    <row r="174" spans="1:8" x14ac:dyDescent="0.3">
      <c r="A174" s="1">
        <v>45818</v>
      </c>
      <c r="B174" s="1" t="s">
        <v>14</v>
      </c>
      <c r="C174">
        <v>36</v>
      </c>
      <c r="D174">
        <v>15</v>
      </c>
      <c r="E174" s="2">
        <f t="shared" si="40"/>
        <v>0.41666666666666669</v>
      </c>
      <c r="F174" t="s">
        <v>18</v>
      </c>
      <c r="G174" t="str">
        <f t="shared" si="41"/>
        <v>20250610-Hospital 7</v>
      </c>
      <c r="H174">
        <f>IF(COUNTIF($G$2:G174,G174)=1,C174,0)</f>
        <v>36</v>
      </c>
    </row>
    <row r="175" spans="1:8" x14ac:dyDescent="0.3">
      <c r="A175" s="1">
        <v>45818</v>
      </c>
      <c r="B175" s="1" t="s">
        <v>14</v>
      </c>
      <c r="C175">
        <v>36</v>
      </c>
      <c r="D175">
        <v>15</v>
      </c>
      <c r="E175" s="2">
        <f t="shared" ref="E175:E189" si="42">IF(C175=0, 0, D175/C175)</f>
        <v>0.41666666666666669</v>
      </c>
      <c r="F175" t="s">
        <v>18</v>
      </c>
      <c r="G175" t="str">
        <f t="shared" ref="G175:G189" si="43">TEXT(A175,"yyyymmdd") &amp; "-" &amp; B175</f>
        <v>20250610-Hospital 7</v>
      </c>
      <c r="H175">
        <f>IF(COUNTIF($G$2:G175,G175)=1,C175,0)</f>
        <v>0</v>
      </c>
    </row>
    <row r="176" spans="1:8" x14ac:dyDescent="0.3">
      <c r="A176" s="1">
        <v>45818</v>
      </c>
      <c r="B176" s="1" t="s">
        <v>14</v>
      </c>
      <c r="C176">
        <v>36</v>
      </c>
      <c r="D176">
        <v>15</v>
      </c>
      <c r="E176" s="2">
        <f t="shared" si="42"/>
        <v>0.41666666666666669</v>
      </c>
      <c r="F176" t="s">
        <v>18</v>
      </c>
      <c r="G176" t="str">
        <f t="shared" si="43"/>
        <v>20250610-Hospital 7</v>
      </c>
      <c r="H176">
        <f>IF(COUNTIF($G$2:G176,G176)=1,C176,0)</f>
        <v>0</v>
      </c>
    </row>
    <row r="177" spans="1:8" x14ac:dyDescent="0.3">
      <c r="A177" s="1">
        <v>45818</v>
      </c>
      <c r="B177" s="1" t="s">
        <v>14</v>
      </c>
      <c r="C177">
        <v>36</v>
      </c>
      <c r="D177">
        <v>15</v>
      </c>
      <c r="E177" s="2">
        <f t="shared" si="42"/>
        <v>0.41666666666666669</v>
      </c>
      <c r="F177" t="s">
        <v>18</v>
      </c>
      <c r="G177" t="str">
        <f t="shared" si="43"/>
        <v>20250610-Hospital 7</v>
      </c>
      <c r="H177">
        <f>IF(COUNTIF($G$2:G177,G177)=1,C177,0)</f>
        <v>0</v>
      </c>
    </row>
    <row r="178" spans="1:8" x14ac:dyDescent="0.3">
      <c r="A178" s="1">
        <v>45818</v>
      </c>
      <c r="B178" s="1" t="s">
        <v>14</v>
      </c>
      <c r="C178">
        <v>36</v>
      </c>
      <c r="D178">
        <v>15</v>
      </c>
      <c r="E178" s="2">
        <f t="shared" si="42"/>
        <v>0.41666666666666669</v>
      </c>
      <c r="F178" t="s">
        <v>18</v>
      </c>
      <c r="G178" t="str">
        <f t="shared" si="43"/>
        <v>20250610-Hospital 7</v>
      </c>
      <c r="H178">
        <f>IF(COUNTIF($G$2:G178,G178)=1,C178,0)</f>
        <v>0</v>
      </c>
    </row>
    <row r="179" spans="1:8" x14ac:dyDescent="0.3">
      <c r="A179" s="1">
        <v>45818</v>
      </c>
      <c r="B179" s="1" t="s">
        <v>14</v>
      </c>
      <c r="C179">
        <v>36</v>
      </c>
      <c r="D179">
        <v>15</v>
      </c>
      <c r="E179" s="2">
        <f t="shared" si="42"/>
        <v>0.41666666666666669</v>
      </c>
      <c r="F179" t="s">
        <v>18</v>
      </c>
      <c r="G179" t="str">
        <f t="shared" si="43"/>
        <v>20250610-Hospital 7</v>
      </c>
      <c r="H179">
        <f>IF(COUNTIF($G$2:G179,G179)=1,C179,0)</f>
        <v>0</v>
      </c>
    </row>
    <row r="180" spans="1:8" x14ac:dyDescent="0.3">
      <c r="A180" s="1">
        <v>45818</v>
      </c>
      <c r="B180" s="1" t="s">
        <v>14</v>
      </c>
      <c r="C180">
        <v>36</v>
      </c>
      <c r="D180">
        <v>15</v>
      </c>
      <c r="E180" s="2">
        <f t="shared" si="42"/>
        <v>0.41666666666666669</v>
      </c>
      <c r="F180" t="s">
        <v>18</v>
      </c>
      <c r="G180" t="str">
        <f t="shared" si="43"/>
        <v>20250610-Hospital 7</v>
      </c>
      <c r="H180">
        <f>IF(COUNTIF($G$2:G180,G180)=1,C180,0)</f>
        <v>0</v>
      </c>
    </row>
    <row r="181" spans="1:8" x14ac:dyDescent="0.3">
      <c r="A181" s="1">
        <v>45818</v>
      </c>
      <c r="B181" s="1" t="s">
        <v>14</v>
      </c>
      <c r="C181">
        <v>36</v>
      </c>
      <c r="D181">
        <v>15</v>
      </c>
      <c r="E181" s="2">
        <f t="shared" si="42"/>
        <v>0.41666666666666669</v>
      </c>
      <c r="F181" t="s">
        <v>23</v>
      </c>
      <c r="G181" t="str">
        <f t="shared" si="43"/>
        <v>20250610-Hospital 7</v>
      </c>
      <c r="H181">
        <f>IF(COUNTIF($G$2:G181,G181)=1,C181,0)</f>
        <v>0</v>
      </c>
    </row>
    <row r="182" spans="1:8" x14ac:dyDescent="0.3">
      <c r="A182" s="1">
        <v>45818</v>
      </c>
      <c r="B182" s="1" t="s">
        <v>14</v>
      </c>
      <c r="C182">
        <v>36</v>
      </c>
      <c r="D182">
        <v>15</v>
      </c>
      <c r="E182" s="2">
        <f t="shared" si="42"/>
        <v>0.41666666666666669</v>
      </c>
      <c r="F182" t="s">
        <v>20</v>
      </c>
      <c r="G182" t="str">
        <f t="shared" si="43"/>
        <v>20250610-Hospital 7</v>
      </c>
      <c r="H182">
        <f>IF(COUNTIF($G$2:G182,G182)=1,C182,0)</f>
        <v>0</v>
      </c>
    </row>
    <row r="183" spans="1:8" x14ac:dyDescent="0.3">
      <c r="A183" s="1">
        <v>45818</v>
      </c>
      <c r="B183" s="1" t="s">
        <v>14</v>
      </c>
      <c r="C183">
        <v>36</v>
      </c>
      <c r="D183">
        <v>15</v>
      </c>
      <c r="E183" s="2">
        <f t="shared" si="42"/>
        <v>0.41666666666666669</v>
      </c>
      <c r="F183" t="s">
        <v>22</v>
      </c>
      <c r="G183" t="str">
        <f t="shared" si="43"/>
        <v>20250610-Hospital 7</v>
      </c>
      <c r="H183">
        <f>IF(COUNTIF($G$2:G183,G183)=1,C183,0)</f>
        <v>0</v>
      </c>
    </row>
    <row r="184" spans="1:8" x14ac:dyDescent="0.3">
      <c r="A184" s="1">
        <v>45818</v>
      </c>
      <c r="B184" s="1" t="s">
        <v>14</v>
      </c>
      <c r="C184">
        <v>36</v>
      </c>
      <c r="D184">
        <v>15</v>
      </c>
      <c r="E184" s="2">
        <f t="shared" si="42"/>
        <v>0.41666666666666669</v>
      </c>
      <c r="F184" t="s">
        <v>21</v>
      </c>
      <c r="G184" t="str">
        <f t="shared" si="43"/>
        <v>20250610-Hospital 7</v>
      </c>
      <c r="H184">
        <f>IF(COUNTIF($G$2:G184,G184)=1,C184,0)</f>
        <v>0</v>
      </c>
    </row>
    <row r="185" spans="1:8" x14ac:dyDescent="0.3">
      <c r="A185" s="1">
        <v>45818</v>
      </c>
      <c r="B185" s="1" t="s">
        <v>14</v>
      </c>
      <c r="C185">
        <v>36</v>
      </c>
      <c r="D185">
        <v>15</v>
      </c>
      <c r="E185" s="2">
        <f t="shared" si="42"/>
        <v>0.41666666666666669</v>
      </c>
      <c r="F185" t="s">
        <v>17</v>
      </c>
      <c r="G185" t="str">
        <f t="shared" si="43"/>
        <v>20250610-Hospital 7</v>
      </c>
      <c r="H185">
        <f>IF(COUNTIF($G$2:G185,G185)=1,C185,0)</f>
        <v>0</v>
      </c>
    </row>
    <row r="186" spans="1:8" x14ac:dyDescent="0.3">
      <c r="A186" s="1">
        <v>45818</v>
      </c>
      <c r="B186" s="1" t="s">
        <v>14</v>
      </c>
      <c r="C186">
        <v>36</v>
      </c>
      <c r="D186">
        <v>15</v>
      </c>
      <c r="E186" s="2">
        <f t="shared" si="42"/>
        <v>0.41666666666666669</v>
      </c>
      <c r="F186" t="s">
        <v>17</v>
      </c>
      <c r="G186" t="str">
        <f t="shared" si="43"/>
        <v>20250610-Hospital 7</v>
      </c>
      <c r="H186">
        <f>IF(COUNTIF($G$2:G186,G186)=1,C186,0)</f>
        <v>0</v>
      </c>
    </row>
    <row r="187" spans="1:8" x14ac:dyDescent="0.3">
      <c r="A187" s="1">
        <v>45818</v>
      </c>
      <c r="B187" s="1" t="s">
        <v>14</v>
      </c>
      <c r="C187">
        <v>36</v>
      </c>
      <c r="D187">
        <v>15</v>
      </c>
      <c r="E187" s="2">
        <f t="shared" si="42"/>
        <v>0.41666666666666669</v>
      </c>
      <c r="F187" t="s">
        <v>17</v>
      </c>
      <c r="G187" t="str">
        <f t="shared" si="43"/>
        <v>20250610-Hospital 7</v>
      </c>
      <c r="H187">
        <f>IF(COUNTIF($G$2:G187,G187)=1,C187,0)</f>
        <v>0</v>
      </c>
    </row>
    <row r="188" spans="1:8" x14ac:dyDescent="0.3">
      <c r="A188" s="1">
        <v>45818</v>
      </c>
      <c r="B188" s="1" t="s">
        <v>14</v>
      </c>
      <c r="C188">
        <v>36</v>
      </c>
      <c r="D188">
        <v>15</v>
      </c>
      <c r="E188" s="2">
        <f t="shared" si="42"/>
        <v>0.41666666666666669</v>
      </c>
      <c r="F188" t="s">
        <v>17</v>
      </c>
      <c r="G188" t="str">
        <f t="shared" si="43"/>
        <v>20250610-Hospital 7</v>
      </c>
      <c r="H188">
        <f>IF(COUNTIF($G$2:G188,G188)=1,C188,0)</f>
        <v>0</v>
      </c>
    </row>
    <row r="189" spans="1:8" x14ac:dyDescent="0.3">
      <c r="A189" s="1">
        <v>45824</v>
      </c>
      <c r="B189" s="1" t="s">
        <v>15</v>
      </c>
      <c r="C189">
        <v>11</v>
      </c>
      <c r="D189">
        <v>2</v>
      </c>
      <c r="E189" s="2">
        <f t="shared" si="42"/>
        <v>0.18181818181818182</v>
      </c>
      <c r="F189" t="s">
        <v>21</v>
      </c>
      <c r="G189" t="str">
        <f t="shared" si="43"/>
        <v>20250616-Hospital 8</v>
      </c>
      <c r="H189">
        <f>IF(COUNTIF($G$2:G189,G189)=1,C189,0)</f>
        <v>11</v>
      </c>
    </row>
    <row r="190" spans="1:8" x14ac:dyDescent="0.3">
      <c r="A190" s="1">
        <v>45824</v>
      </c>
      <c r="B190" s="1" t="s">
        <v>15</v>
      </c>
      <c r="C190">
        <v>11</v>
      </c>
      <c r="D190">
        <v>2</v>
      </c>
      <c r="E190" s="2">
        <f t="shared" ref="E190:E191" si="44">IF(C190=0, 0, D190/C190)</f>
        <v>0.18181818181818182</v>
      </c>
      <c r="F190" t="s">
        <v>21</v>
      </c>
      <c r="G190" t="str">
        <f t="shared" ref="G190:G191" si="45">TEXT(A190,"yyyymmdd") &amp; "-" &amp; B190</f>
        <v>20250616-Hospital 8</v>
      </c>
      <c r="H190">
        <f>IF(COUNTIF($G$2:G190,G190)=1,C190,0)</f>
        <v>0</v>
      </c>
    </row>
    <row r="191" spans="1:8" x14ac:dyDescent="0.3">
      <c r="A191" s="1">
        <v>45825</v>
      </c>
      <c r="B191" s="1" t="s">
        <v>13</v>
      </c>
      <c r="C191">
        <v>17</v>
      </c>
      <c r="D191">
        <v>4</v>
      </c>
      <c r="E191" s="2">
        <f t="shared" si="44"/>
        <v>0.23529411764705882</v>
      </c>
      <c r="F191" t="s">
        <v>18</v>
      </c>
      <c r="G191" t="str">
        <f t="shared" si="45"/>
        <v>20250617-Hospital 6</v>
      </c>
      <c r="H191">
        <f>IF(COUNTIF($G$2:G191,G191)=1,C191,0)</f>
        <v>17</v>
      </c>
    </row>
    <row r="192" spans="1:8" x14ac:dyDescent="0.3">
      <c r="A192" s="1">
        <v>45825</v>
      </c>
      <c r="B192" s="1" t="s">
        <v>13</v>
      </c>
      <c r="C192">
        <v>17</v>
      </c>
      <c r="D192">
        <v>4</v>
      </c>
      <c r="E192" s="2">
        <f t="shared" ref="E192:E195" si="46">IF(C192=0, 0, D192/C192)</f>
        <v>0.23529411764705882</v>
      </c>
      <c r="F192" t="s">
        <v>18</v>
      </c>
      <c r="G192" t="str">
        <f t="shared" ref="G192:G195" si="47">TEXT(A192,"yyyymmdd") &amp; "-" &amp; B192</f>
        <v>20250617-Hospital 6</v>
      </c>
      <c r="H192">
        <f>IF(COUNTIF($G$2:G192,G192)=1,C192,0)</f>
        <v>0</v>
      </c>
    </row>
    <row r="193" spans="1:8" x14ac:dyDescent="0.3">
      <c r="A193" s="1">
        <v>45825</v>
      </c>
      <c r="B193" s="1" t="s">
        <v>13</v>
      </c>
      <c r="C193">
        <v>17</v>
      </c>
      <c r="D193">
        <v>4</v>
      </c>
      <c r="E193" s="2">
        <f t="shared" si="46"/>
        <v>0.23529411764705882</v>
      </c>
      <c r="F193" t="s">
        <v>17</v>
      </c>
      <c r="G193" t="str">
        <f t="shared" si="47"/>
        <v>20250617-Hospital 6</v>
      </c>
      <c r="H193">
        <f>IF(COUNTIF($G$2:G193,G193)=1,C193,0)</f>
        <v>0</v>
      </c>
    </row>
    <row r="194" spans="1:8" x14ac:dyDescent="0.3">
      <c r="A194" s="1">
        <v>45825</v>
      </c>
      <c r="B194" s="1" t="s">
        <v>13</v>
      </c>
      <c r="C194">
        <v>17</v>
      </c>
      <c r="D194">
        <v>4</v>
      </c>
      <c r="E194" s="2">
        <f t="shared" si="46"/>
        <v>0.23529411764705882</v>
      </c>
      <c r="F194" t="s">
        <v>17</v>
      </c>
      <c r="G194" t="str">
        <f t="shared" si="47"/>
        <v>20250617-Hospital 6</v>
      </c>
      <c r="H194">
        <f>IF(COUNTIF($G$2:G194,G194)=1,C194,0)</f>
        <v>0</v>
      </c>
    </row>
    <row r="195" spans="1:8" x14ac:dyDescent="0.3">
      <c r="A195" s="1">
        <v>45835</v>
      </c>
      <c r="B195" s="1" t="s">
        <v>10</v>
      </c>
      <c r="C195">
        <v>18</v>
      </c>
      <c r="D195">
        <v>8</v>
      </c>
      <c r="E195" s="2">
        <f t="shared" si="46"/>
        <v>0.44444444444444442</v>
      </c>
      <c r="F195" t="s">
        <v>18</v>
      </c>
      <c r="G195" t="str">
        <f t="shared" si="47"/>
        <v>20250627-Hospital 3</v>
      </c>
      <c r="H195">
        <f>IF(COUNTIF($G$2:G195,G195)=1,C195,0)</f>
        <v>18</v>
      </c>
    </row>
    <row r="196" spans="1:8" x14ac:dyDescent="0.3">
      <c r="A196" s="1">
        <v>45835</v>
      </c>
      <c r="B196" s="1" t="s">
        <v>10</v>
      </c>
      <c r="C196">
        <v>18</v>
      </c>
      <c r="D196">
        <v>8</v>
      </c>
      <c r="E196" s="2">
        <f t="shared" ref="E196:E202" si="48">IF(C196=0, 0, D196/C196)</f>
        <v>0.44444444444444442</v>
      </c>
      <c r="F196" t="s">
        <v>18</v>
      </c>
      <c r="G196" t="str">
        <f t="shared" ref="G196:G202" si="49">TEXT(A196,"yyyymmdd") &amp; "-" &amp; B196</f>
        <v>20250627-Hospital 3</v>
      </c>
      <c r="H196">
        <f>IF(COUNTIF($G$2:G196,G196)=1,C196,0)</f>
        <v>0</v>
      </c>
    </row>
    <row r="197" spans="1:8" x14ac:dyDescent="0.3">
      <c r="A197" s="1">
        <v>45835</v>
      </c>
      <c r="B197" s="1" t="s">
        <v>10</v>
      </c>
      <c r="C197">
        <v>18</v>
      </c>
      <c r="D197">
        <v>8</v>
      </c>
      <c r="E197" s="2">
        <f t="shared" si="48"/>
        <v>0.44444444444444442</v>
      </c>
      <c r="F197" t="s">
        <v>18</v>
      </c>
      <c r="G197" t="str">
        <f t="shared" si="49"/>
        <v>20250627-Hospital 3</v>
      </c>
      <c r="H197">
        <f>IF(COUNTIF($G$2:G197,G197)=1,C197,0)</f>
        <v>0</v>
      </c>
    </row>
    <row r="198" spans="1:8" x14ac:dyDescent="0.3">
      <c r="A198" s="1">
        <v>45835</v>
      </c>
      <c r="B198" s="1" t="s">
        <v>10</v>
      </c>
      <c r="C198">
        <v>18</v>
      </c>
      <c r="D198">
        <v>8</v>
      </c>
      <c r="E198" s="2">
        <f t="shared" si="48"/>
        <v>0.44444444444444442</v>
      </c>
      <c r="F198" t="s">
        <v>22</v>
      </c>
      <c r="G198" t="str">
        <f t="shared" si="49"/>
        <v>20250627-Hospital 3</v>
      </c>
      <c r="H198">
        <f>IF(COUNTIF($G$2:G198,G198)=1,C198,0)</f>
        <v>0</v>
      </c>
    </row>
    <row r="199" spans="1:8" x14ac:dyDescent="0.3">
      <c r="A199" s="1">
        <v>45835</v>
      </c>
      <c r="B199" s="1" t="s">
        <v>10</v>
      </c>
      <c r="C199">
        <v>18</v>
      </c>
      <c r="D199">
        <v>8</v>
      </c>
      <c r="E199" s="2">
        <f t="shared" si="48"/>
        <v>0.44444444444444442</v>
      </c>
      <c r="F199" t="s">
        <v>24</v>
      </c>
      <c r="G199" t="str">
        <f t="shared" si="49"/>
        <v>20250627-Hospital 3</v>
      </c>
      <c r="H199">
        <f>IF(COUNTIF($G$2:G199,G199)=1,C199,0)</f>
        <v>0</v>
      </c>
    </row>
    <row r="200" spans="1:8" x14ac:dyDescent="0.3">
      <c r="A200" s="1">
        <v>45835</v>
      </c>
      <c r="B200" s="1" t="s">
        <v>10</v>
      </c>
      <c r="C200">
        <v>18</v>
      </c>
      <c r="D200">
        <v>8</v>
      </c>
      <c r="E200" s="2">
        <f t="shared" si="48"/>
        <v>0.44444444444444442</v>
      </c>
      <c r="F200" t="s">
        <v>20</v>
      </c>
      <c r="G200" t="str">
        <f t="shared" si="49"/>
        <v>20250627-Hospital 3</v>
      </c>
      <c r="H200">
        <f>IF(COUNTIF($G$2:G200,G200)=1,C200,0)</f>
        <v>0</v>
      </c>
    </row>
    <row r="201" spans="1:8" x14ac:dyDescent="0.3">
      <c r="A201" s="1">
        <v>45835</v>
      </c>
      <c r="B201" s="1" t="s">
        <v>10</v>
      </c>
      <c r="C201">
        <v>18</v>
      </c>
      <c r="D201">
        <v>8</v>
      </c>
      <c r="E201" s="2">
        <f t="shared" si="48"/>
        <v>0.44444444444444442</v>
      </c>
      <c r="F201" t="s">
        <v>17</v>
      </c>
      <c r="G201" t="str">
        <f t="shared" si="49"/>
        <v>20250627-Hospital 3</v>
      </c>
      <c r="H201">
        <f>IF(COUNTIF($G$2:G201,G201)=1,C201,0)</f>
        <v>0</v>
      </c>
    </row>
    <row r="202" spans="1:8" x14ac:dyDescent="0.3">
      <c r="A202" s="1">
        <v>45835</v>
      </c>
      <c r="B202" s="1" t="s">
        <v>10</v>
      </c>
      <c r="C202">
        <v>18</v>
      </c>
      <c r="D202">
        <v>8</v>
      </c>
      <c r="E202" s="2">
        <f t="shared" si="48"/>
        <v>0.44444444444444442</v>
      </c>
      <c r="F202" t="s">
        <v>17</v>
      </c>
      <c r="G202" t="str">
        <f t="shared" si="49"/>
        <v>20250627-Hospital 3</v>
      </c>
      <c r="H202">
        <f>IF(COUNTIF($G$2:G202,G202)=1,C202,0)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ReferralsByType</vt:lpstr>
      <vt:lpstr>ReferralsByMonthHospital</vt:lpstr>
      <vt:lpstr>ReferralsByHospitalType</vt:lpstr>
      <vt:lpstr>AvgPatientsPerVisit</vt:lpstr>
      <vt:lpstr>AvgReferralRate</vt:lpstr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 User 6</dc:creator>
  <cp:lastModifiedBy>Arran F</cp:lastModifiedBy>
  <dcterms:created xsi:type="dcterms:W3CDTF">2026-02-09T18:00:11Z</dcterms:created>
  <dcterms:modified xsi:type="dcterms:W3CDTF">2026-02-09T22:40:38Z</dcterms:modified>
</cp:coreProperties>
</file>